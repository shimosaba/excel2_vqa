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filterPrivacy="1" codeName="ThisWorkbook"/>
  <xr:revisionPtr revIDLastSave="0" documentId="13_ncr:1_{7E9BA801-D970-4A5D-99A8-A07CA6E23D69}" xr6:coauthVersionLast="47" xr6:coauthVersionMax="47" xr10:uidLastSave="{00000000-0000-0000-0000-000000000000}"/>
  <bookViews>
    <workbookView xWindow="-120" yWindow="-120" windowWidth="29040" windowHeight="15720" tabRatio="707" activeTab="1" xr2:uid="{00000000-000D-0000-FFFF-FFFF00000000}"/>
  </bookViews>
  <sheets>
    <sheet name="在庫リスト" sheetId="2" r:id="rId1"/>
    <sheet name="ナビゲーション​​ リンク" sheetId="14" r:id="rId2"/>
    <sheet name="アイコン セット" sheetId="16" r:id="rId3"/>
    <sheet name="詳細情報" sheetId="13" r:id="rId4"/>
  </sheets>
  <definedNames>
    <definedName name="_xlnm.Print_Titles" localSheetId="0">在庫リスト!$5:$5</definedName>
    <definedName name="SKULook">在庫リスト[SKU]</definedName>
    <definedName name="ビン番号">#REF!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9" i="2" l="1"/>
  <c r="H29" i="2"/>
  <c r="G29" i="2"/>
  <c r="F29" i="2"/>
  <c r="I28" i="2"/>
  <c r="H28" i="2"/>
  <c r="G28" i="2"/>
  <c r="F28" i="2"/>
  <c r="I27" i="2"/>
  <c r="H27" i="2"/>
  <c r="G27" i="2"/>
  <c r="F27" i="2"/>
  <c r="I26" i="2"/>
  <c r="H26" i="2"/>
  <c r="G26" i="2"/>
  <c r="F26" i="2"/>
  <c r="I25" i="2"/>
  <c r="H25" i="2"/>
  <c r="G25" i="2"/>
  <c r="F25" i="2"/>
  <c r="K11" i="2"/>
  <c r="K12" i="2"/>
  <c r="K13" i="2"/>
  <c r="K14" i="2"/>
  <c r="K15" i="2"/>
  <c r="K16" i="2"/>
  <c r="K8" i="2"/>
  <c r="K10" i="2" l="1"/>
  <c r="K9" i="2"/>
  <c r="K7" i="2"/>
  <c r="K6" i="2"/>
  <c r="J16" i="2" l="1"/>
  <c r="E16" i="2"/>
  <c r="J15" i="2"/>
  <c r="E15" i="2"/>
  <c r="J28" i="2" s="1"/>
  <c r="J14" i="2"/>
  <c r="E14" i="2"/>
  <c r="J13" i="2"/>
  <c r="E13" i="2"/>
  <c r="J12" i="2"/>
  <c r="E12" i="2"/>
  <c r="J27" i="2" s="1"/>
  <c r="J11" i="2"/>
  <c r="E11" i="2"/>
  <c r="J10" i="2"/>
  <c r="E10" i="2"/>
  <c r="J9" i="2"/>
  <c r="E9" i="2"/>
  <c r="J26" i="2" s="1"/>
  <c r="J8" i="2"/>
  <c r="E8" i="2"/>
  <c r="J29" i="2" s="1"/>
  <c r="J7" i="2"/>
  <c r="E7" i="2"/>
  <c r="J6" i="2"/>
  <c r="E6" i="2"/>
  <c r="J25" i="2" s="1"/>
  <c r="C4" i="2"/>
  <c r="D4" i="2"/>
  <c r="B4" i="2" l="1"/>
</calcChain>
</file>

<file path=xl/sharedStrings.xml><?xml version="1.0" encoding="utf-8"?>
<sst xmlns="http://schemas.openxmlformats.org/spreadsheetml/2006/main" count="142" uniqueCount="102">
  <si>
    <t xml:space="preserve"> </t>
  </si>
  <si>
    <t>在庫リスト</t>
  </si>
  <si>
    <t>在庫の合計評価額:</t>
  </si>
  <si>
    <t>在庫品目:</t>
  </si>
  <si>
    <t>ビン数:</t>
  </si>
  <si>
    <t>SKU</t>
    <phoneticPr fontId="8"/>
  </si>
  <si>
    <t>説明</t>
    <phoneticPr fontId="8"/>
  </si>
  <si>
    <t>ビン番号</t>
    <phoneticPr fontId="8"/>
  </si>
  <si>
    <t>場所</t>
    <phoneticPr fontId="8"/>
  </si>
  <si>
    <t>単位</t>
    <phoneticPr fontId="8"/>
  </si>
  <si>
    <t>数量</t>
    <phoneticPr fontId="8"/>
  </si>
  <si>
    <t>再発注の数量</t>
    <phoneticPr fontId="8"/>
  </si>
  <si>
    <t>コスト</t>
    <phoneticPr fontId="8"/>
  </si>
  <si>
    <t>在庫の評価額</t>
    <phoneticPr fontId="8"/>
  </si>
  <si>
    <t>再発注</t>
    <phoneticPr fontId="8"/>
  </si>
  <si>
    <t>SP7875</t>
  </si>
  <si>
    <t>品目 1</t>
  </si>
  <si>
    <t>T345</t>
  </si>
  <si>
    <t>個</t>
  </si>
  <si>
    <t>TR87680</t>
  </si>
  <si>
    <t>品目 2</t>
  </si>
  <si>
    <t>MK676554</t>
  </si>
  <si>
    <t>品目 3</t>
  </si>
  <si>
    <t>T5789</t>
  </si>
  <si>
    <t>YE98767</t>
  </si>
  <si>
    <t>品目 4</t>
  </si>
  <si>
    <t>T9876</t>
  </si>
  <si>
    <t>ボックス (10 個)</t>
  </si>
  <si>
    <t>XR23423</t>
  </si>
  <si>
    <t>品目 5</t>
  </si>
  <si>
    <t>T098</t>
  </si>
  <si>
    <t>PW98762</t>
  </si>
  <si>
    <t>品目 6</t>
  </si>
  <si>
    <t>BM87684</t>
  </si>
  <si>
    <t>品目 7</t>
  </si>
  <si>
    <t>T349</t>
  </si>
  <si>
    <t>BH67655</t>
  </si>
  <si>
    <t>品目 8</t>
  </si>
  <si>
    <t>WT98768</t>
  </si>
  <si>
    <t>品目 9</t>
  </si>
  <si>
    <t>T9875</t>
  </si>
  <si>
    <t>パッケージ (5 個)</t>
  </si>
  <si>
    <t>TS3456</t>
  </si>
  <si>
    <t>品目 10</t>
  </si>
  <si>
    <t>WDG123</t>
  </si>
  <si>
    <t>品目 11</t>
  </si>
  <si>
    <t>在庫ピッキング リスト</t>
  </si>
  <si>
    <t>注文番号</t>
    <phoneticPr fontId="8"/>
  </si>
  <si>
    <t>ピッキングの数量</t>
    <phoneticPr fontId="8"/>
  </si>
  <si>
    <t>在庫数</t>
    <phoneticPr fontId="8"/>
  </si>
  <si>
    <t>品目の説明</t>
    <phoneticPr fontId="8"/>
  </si>
  <si>
    <t>TP001-1</t>
  </si>
  <si>
    <t>ビンのルックアップ</t>
  </si>
  <si>
    <t>幅</t>
    <phoneticPr fontId="8"/>
  </si>
  <si>
    <t>高さ</t>
    <phoneticPr fontId="8"/>
  </si>
  <si>
    <t>長さ</t>
    <phoneticPr fontId="8"/>
  </si>
  <si>
    <t>ビン (大)</t>
  </si>
  <si>
    <t>2 列目、スロット 1</t>
  </si>
  <si>
    <t>ビン (小)</t>
  </si>
  <si>
    <t>1 列目、スロット 1</t>
  </si>
  <si>
    <t>3 列目、スロット 2</t>
  </si>
  <si>
    <t>ビン (中)</t>
  </si>
  <si>
    <t>3 列目、スロット 1</t>
  </si>
  <si>
    <t>1 列目、スロット 2</t>
  </si>
  <si>
    <t>4 列目、スロット 5</t>
  </si>
  <si>
    <t>2 列目、スロット 2</t>
  </si>
  <si>
    <t>ナビゲーション​​ リンク</t>
  </si>
  <si>
    <t xml:space="preserve">
ナビゲーション リンクは、ユーザーがブック内の情報にすばやくアクセスするのに役立ちます。スクリーン リーダーを使用するユーザーは、リンクの一覧をスキャンすることがあります。リンクは、宛先に関する明確で正確な情報を伝える必要があります。 </t>
  </si>
  <si>
    <t>2 つのナビゲーション リンクの画像</t>
  </si>
  <si>
    <t>リンクにはわかりやすい名前を付けてください。在庫リストのワークシートでは、次の 2 つのナビゲーション リンクが使用されます:"開始" と "在庫ピッキング リスト"。セル C4 のナビゲーション リンクのサンプル画像を参照してください。</t>
  </si>
  <si>
    <t>リンクが選択されたときに何が行われるかを簡単に説明する画面のヒント テキストを追加します。以下のスクリーン テキストのサンプル画像を参照してください。</t>
  </si>
  <si>
    <t>アクセシビリティを活用するユーザーに対して、ワークシートでこのような重要な図形のコールアウトを行うのに役立ちます。たとえば、A1 の概要入力メッセージは、ナビゲーション ボタンが存在することを示し、移動先をユーザーに伝えます。在庫リストのワークシートの A1 入力メッセージを参照してください。</t>
  </si>
  <si>
    <t>アクセシビリティを活用するユーザーがリンクを含む図形にアクセスするには、いくつかの手順が必要です。それらを簡単にする方法がいくつかあります。</t>
  </si>
  <si>
    <r>
      <rPr>
        <b/>
        <sz val="12"/>
        <color theme="1"/>
        <rFont val="Meiryo UI"/>
        <family val="3"/>
        <charset val="128"/>
      </rPr>
      <t>4.1</t>
    </r>
    <r>
      <rPr>
        <sz val="12"/>
        <color theme="1"/>
        <rFont val="Meiryo UI"/>
        <family val="3"/>
        <charset val="128"/>
      </rPr>
      <t xml:space="preserve"> 図形がセル ブロック (在庫リストのワークシートのセル E2 など) 内に完全に収まっていることを確認します。 </t>
    </r>
  </si>
  <si>
    <r>
      <rPr>
        <b/>
        <sz val="12"/>
        <color theme="1"/>
        <rFont val="Meiryo UI"/>
        <family val="3"/>
        <charset val="128"/>
      </rPr>
      <t xml:space="preserve">4.2 </t>
    </r>
    <r>
      <rPr>
        <sz val="12"/>
        <color theme="1"/>
        <rFont val="Meiryo UI"/>
        <family val="3"/>
        <charset val="128"/>
      </rPr>
      <t xml:space="preserve">図形内のテキストをミラーリングする図形を含むセルにテキストを追加します。 </t>
    </r>
  </si>
  <si>
    <r>
      <rPr>
        <b/>
        <sz val="12"/>
        <color theme="1"/>
        <rFont val="Meiryo UI"/>
        <family val="3"/>
        <charset val="128"/>
      </rPr>
      <t>4.3</t>
    </r>
    <r>
      <rPr>
        <sz val="12"/>
        <color theme="1"/>
        <rFont val="Meiryo UI"/>
        <family val="3"/>
        <charset val="128"/>
      </rPr>
      <t xml:space="preserve"> テキストをハイパーリンクにして、図形の内側に完全に揃えます。</t>
    </r>
  </si>
  <si>
    <r>
      <rPr>
        <b/>
        <sz val="12"/>
        <color theme="1"/>
        <rFont val="Meiryo UI"/>
        <family val="3"/>
        <charset val="128"/>
      </rPr>
      <t>4.4</t>
    </r>
    <r>
      <rPr>
        <sz val="12"/>
        <color theme="1"/>
        <rFont val="Meiryo UI"/>
        <family val="3"/>
        <charset val="128"/>
      </rPr>
      <t xml:space="preserve"> このセルにナビゲーション リンクがあることを示す入力メッセージを追加します。</t>
    </r>
  </si>
  <si>
    <r>
      <rPr>
        <b/>
        <sz val="12"/>
        <color theme="1"/>
        <rFont val="Meiryo UI"/>
        <family val="3"/>
        <charset val="128"/>
      </rPr>
      <t>4.5</t>
    </r>
    <r>
      <rPr>
        <sz val="12"/>
        <color theme="1"/>
        <rFont val="Meiryo UI"/>
        <family val="3"/>
        <charset val="128"/>
      </rPr>
      <t xml:space="preserve"> 図形とまったく同じリンクとスクリーンでのヒントのテキストをセルに追加します。</t>
    </r>
  </si>
  <si>
    <r>
      <rPr>
        <b/>
        <sz val="12"/>
        <color theme="1"/>
        <rFont val="Meiryo UI"/>
        <family val="3"/>
        <charset val="128"/>
      </rPr>
      <t>4.6</t>
    </r>
    <r>
      <rPr>
        <sz val="12"/>
        <color theme="1"/>
        <rFont val="Meiryo UI"/>
        <family val="3"/>
        <charset val="128"/>
      </rPr>
      <t xml:space="preserve"> ハイパーリンクのセル スタイルを変更するか、フォントの色が背景色と同じになるようにカスタム スタイルを作成して、テキストを非表示にします。[ハイパーリンク] と [表示済みハイパーリンク] の両方のセル スタイルが一致していることを確認します。</t>
    </r>
  </si>
  <si>
    <t>条件付き書式</t>
  </si>
  <si>
    <t xml:space="preserve">
条件付き書式は、定義された条件セットに一致するデータを強調表示する場合に便利です。 </t>
  </si>
  <si>
    <t xml:space="preserve">条件付き書式はアクセシビリティ機能ではありませんが、見栄えの良いテンプレートを作成する際によく活用されます。アクセシビリティを活用するユーザーが条件付き書式がいつ使用されたかを理解できるように、より多くの注釈を付ける必要があります。 </t>
  </si>
  <si>
    <t>セル C8 では、表の画像内で行われる強調表示のコンテキストが追加されます。</t>
  </si>
  <si>
    <t>アクセシビリティを活用するユーザーが条件付き書式がいつ使用されたかを理解できるように、注釈を使用してください。</t>
  </si>
  <si>
    <t>強調表示される品目を示す場合に、色の指定は行わないでください。色を指定する必要がある場合は、RGB 値を色の指定とともに含めます。</t>
  </si>
  <si>
    <t>再発注の品目は、以下の図の条件付き書式を使用して強調表示されます。2 つの矢印は、画像内で強調表示されている行を示しています</t>
  </si>
  <si>
    <t>アイコン セット</t>
  </si>
  <si>
    <t xml:space="preserve">
条件付き書式に含まれるアイコン セットはアクセシビリティ機能ではありませんが、見栄えの良いテンプレートを作成する際によく活用されます。アクセシビリティを活用するユーザーがアイコン セットがいつ使用されたかを理解できるように、注釈を使用してください。</t>
  </si>
  <si>
    <t>列 K の画像
在庫リスト</t>
  </si>
  <si>
    <t>サンプルの入力メッセージ:
在庫リストの列 K</t>
  </si>
  <si>
    <t>アイコン セットは、定義された条件セットに一致するデータを強調表示する場合に便利ですが、可能な限り、セル C4 の [再発注] の例の画像のように、テキストを付ける必要があります。</t>
  </si>
  <si>
    <t>見出しの行または列内にアイコン セットが含まれるテーブル見出しの入力メッセージにより、アクセシビリティを活用するユーザーは、いつアイコン セットがセル内にあるかを理解できます。セル D4 の入力メッセージの例を参照してください。</t>
  </si>
  <si>
    <t>セル D4 の在庫リストのワークシートの列 K の入力メッセージには、次のテキストがあります。"この列のフラグ アイコンは、在庫内の品目を再発注する準備ができている状態を示しています。"</t>
  </si>
  <si>
    <t>在庫リストの列 K の見出しセルでは、テーブル内で行われる強調表示のコンテキストを追加します。視覚ユーザー用に、列内にアイコンのみを含む空白の見出しを使用できます。ただし、これをアクセシビリティ対応にするには、テキストを追加する必要があります。</t>
  </si>
  <si>
    <r>
      <rPr>
        <b/>
        <sz val="12"/>
        <color theme="1"/>
        <rFont val="Meiryo UI"/>
        <family val="3"/>
        <charset val="128"/>
      </rPr>
      <t>ヒント:</t>
    </r>
    <r>
      <rPr>
        <sz val="12"/>
        <color theme="1"/>
        <rFont val="Meiryo UI"/>
        <family val="3"/>
        <charset val="128"/>
      </rPr>
      <t>列の幅を小さくしたり、見出しのテキストを背景と同じ色にしたりすると、視覚的な効果を維持するためにテキストが非表示になる場合があります。</t>
    </r>
  </si>
  <si>
    <r>
      <t xml:space="preserve">アイコン セットを含むアクセシビリティ対応テンプレートを作成する場合、必ず以下を選択解除してください
</t>
    </r>
    <r>
      <rPr>
        <b/>
        <sz val="12"/>
        <color theme="1"/>
        <rFont val="Meiryo UI"/>
        <family val="3"/>
        <charset val="128"/>
      </rPr>
      <t>[アイコンのみ表示]</t>
    </r>
    <r>
      <rPr>
        <sz val="12"/>
        <color theme="1"/>
        <rFont val="Meiryo UI"/>
        <family val="3"/>
        <charset val="128"/>
      </rPr>
      <t xml:space="preserve"> (条件付き書式オプション内)。</t>
    </r>
  </si>
  <si>
    <t>条件付き書式を適用した後、「アイコン セット」という名前のカスタム スタイルを作成します。数値設定の場合は、カスタムの数値形式を作成します。"再発注"、""、""。</t>
  </si>
  <si>
    <t>このカスタム スタイルは、列 K または在庫ワークシートに適用されていることにご注意ください。</t>
  </si>
  <si>
    <t xml:space="preserve">セル F3 のサンプル画像のように、アイコンとともに "再発注" (Reorder) というテキストが表示されます。 </t>
  </si>
  <si>
    <r>
      <rPr>
        <b/>
        <sz val="12"/>
        <color theme="1"/>
        <rFont val="Meiryo UI"/>
        <family val="3"/>
        <charset val="128"/>
      </rPr>
      <t>ヒント:</t>
    </r>
    <r>
      <rPr>
        <sz val="12"/>
        <color theme="1"/>
        <rFont val="Meiryo UI"/>
        <family val="3"/>
        <charset val="128"/>
      </rPr>
      <t>追加のテキストが見栄えが良くない場合があります。見出しテキストの非表示と同様に、カスタム スタイルを作成して列に適用し、データ セル内のテキストを非表示にすることができます。</t>
    </r>
  </si>
  <si>
    <t>質問 (アクセシビリティに関して) がある場合</t>
    <phoneticPr fontId="8"/>
  </si>
  <si>
    <t>詳細情報 (アクセシビリティ対応の
スプレッドシートの作成方法に関して) を、上記のリンクをクリックしてご確認ください。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</si>
</sst>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7" formatCode="&quot;¥&quot;#,##0.00;&quot;¥&quot;\-#,##0.00"/>
    <numFmt numFmtId="176" formatCode="&quot;&quot;;&quot;&quot;;&quot;Clear Pick List Selected in B2&quot;"/>
    <numFmt numFmtId="177" formatCode="&quot;Pick List was cleared&quot;;&quot;&quot;;&quot;Pick List was not cleared&quot;"/>
    <numFmt numFmtId="178" formatCode="0."/>
    <numFmt numFmtId="179" formatCode="0_ "/>
    <numFmt numFmtId="180" formatCode="&quot;¥&quot;#,##0.00_);\(&quot;¥&quot;#,##0.00\)"/>
    <numFmt numFmtId="181" formatCode="&quot;再発注&quot;;&quot;&quot;;&quot;&quot;"/>
  </numFmts>
  <fonts count="25" x14ac:knownFonts="1">
    <font>
      <sz val="11"/>
      <color theme="3" tint="0.14990691854609822"/>
      <name val="Meiryo UI"/>
      <family val="3"/>
      <charset val="128"/>
    </font>
    <font>
      <sz val="11"/>
      <color theme="0"/>
      <name val="Gill Sans Nova"/>
      <family val="2"/>
      <scheme val="minor"/>
    </font>
    <font>
      <sz val="11"/>
      <color theme="4" tint="-0.499984740745262"/>
      <name val="Gill Sans Nova"/>
      <family val="2"/>
      <scheme val="minor"/>
    </font>
    <font>
      <sz val="11"/>
      <color theme="3" tint="0.14990691854609822"/>
      <name val="Meiryo UI"/>
      <family val="3"/>
      <charset val="128"/>
    </font>
    <font>
      <sz val="12"/>
      <color theme="0"/>
      <name val="Meiryo UI"/>
      <family val="3"/>
      <charset val="128"/>
    </font>
    <font>
      <sz val="12"/>
      <color theme="3" tint="0.14993743705557422"/>
      <name val="Meiryo UI"/>
      <family val="3"/>
      <charset val="128"/>
    </font>
    <font>
      <sz val="42"/>
      <color theme="1"/>
      <name val="Meiryo UI"/>
      <family val="3"/>
      <charset val="128"/>
    </font>
    <font>
      <sz val="14"/>
      <color theme="1"/>
      <name val="Meiryo UI"/>
      <family val="3"/>
      <charset val="128"/>
    </font>
    <font>
      <sz val="6"/>
      <name val="Meiryo UI"/>
      <family val="3"/>
      <charset val="128"/>
    </font>
    <font>
      <sz val="12"/>
      <color theme="1"/>
      <name val="Meiryo UI"/>
      <family val="3"/>
      <charset val="128"/>
    </font>
    <font>
      <b/>
      <sz val="12"/>
      <color theme="1"/>
      <name val="Meiryo UI"/>
      <family val="3"/>
      <charset val="128"/>
    </font>
    <font>
      <sz val="11"/>
      <color theme="1"/>
      <name val="Meiryo UI"/>
      <family val="3"/>
      <charset val="128"/>
    </font>
    <font>
      <i/>
      <sz val="12"/>
      <color theme="1"/>
      <name val="Meiryo UI"/>
      <family val="3"/>
      <charset val="128"/>
    </font>
    <font>
      <sz val="12"/>
      <name val="Meiryo UI"/>
      <family val="3"/>
      <charset val="128"/>
    </font>
    <font>
      <sz val="12"/>
      <color theme="4" tint="-0.499984740745262"/>
      <name val="Meiryo UI"/>
      <family val="3"/>
      <charset val="128"/>
    </font>
    <font>
      <sz val="11"/>
      <color theme="0"/>
      <name val="Meiryo UI"/>
      <family val="3"/>
      <charset val="128"/>
    </font>
    <font>
      <sz val="11"/>
      <color theme="1" tint="0.14993743705557422"/>
      <name val="Meiryo UI"/>
      <family val="3"/>
      <charset val="128"/>
    </font>
    <font>
      <sz val="26"/>
      <color theme="1" tint="0.14993743705557422"/>
      <name val="Meiryo UI"/>
      <family val="3"/>
      <charset val="128"/>
    </font>
    <font>
      <b/>
      <sz val="12"/>
      <color rgb="FF217346"/>
      <name val="Meiryo UI"/>
      <family val="3"/>
      <charset val="128"/>
    </font>
    <font>
      <sz val="11"/>
      <color theme="3" tint="0.1498764000366222"/>
      <name val="Meiryo UI"/>
      <family val="3"/>
      <charset val="128"/>
    </font>
    <font>
      <sz val="16"/>
      <color theme="4" tint="-0.499984740745262"/>
      <name val="Meiryo UI"/>
      <family val="3"/>
      <charset val="128"/>
    </font>
    <font>
      <sz val="12"/>
      <color theme="1" tint="0.1498764000366222"/>
      <name val="Meiryo UI"/>
      <family val="3"/>
      <charset val="128"/>
    </font>
    <font>
      <b/>
      <sz val="26"/>
      <color theme="3" tint="0.14993743705557422"/>
      <name val="Meiryo UI"/>
      <family val="3"/>
      <charset val="128"/>
    </font>
    <font>
      <sz val="11"/>
      <color theme="3"/>
      <name val="Meiryo UI"/>
      <family val="3"/>
      <charset val="128"/>
    </font>
    <font>
      <b/>
      <sz val="11"/>
      <color theme="1"/>
      <name val="Meiryo UI"/>
      <family val="3"/>
      <charset val="128"/>
    </font>
  </fonts>
  <fills count="6">
    <fill>
      <patternFill patternType="none"/>
    </fill>
    <fill>
      <patternFill patternType="gray125"/>
    </fill>
    <fill>
      <patternFill patternType="solid">
        <fgColor theme="4" tint="-0.499984740745262"/>
        <bgColor indexed="64"/>
      </patternFill>
    </fill>
    <fill>
      <patternFill patternType="solid">
        <fgColor theme="0" tint="-4.9989318521683403E-2"/>
        <bgColor indexed="64"/>
      </patternFill>
    </fill>
    <fill>
      <patternFill patternType="solid">
        <fgColor theme="0"/>
        <bgColor indexed="64"/>
      </patternFill>
    </fill>
    <fill>
      <patternFill patternType="solid">
        <fgColor theme="4" tint="0.79998168889431442"/>
        <bgColor indexed="64"/>
      </patternFill>
    </fill>
  </fills>
  <borders count="5">
    <border>
      <left/>
      <right/>
      <top/>
      <bottom/>
      <diagonal/>
    </border>
    <border>
      <left/>
      <right/>
      <top/>
      <bottom style="medium">
        <color theme="4" tint="-0.499984740745262"/>
      </bottom>
      <diagonal/>
    </border>
    <border>
      <left/>
      <right/>
      <top style="thin">
        <color theme="4" tint="-0.499984740745262"/>
      </top>
      <bottom style="double">
        <color theme="4" tint="-0.499984740745262"/>
      </bottom>
      <diagonal/>
    </border>
    <border>
      <left/>
      <right/>
      <top/>
      <bottom style="thick">
        <color rgb="FF217346"/>
      </bottom>
      <diagonal/>
    </border>
    <border>
      <left/>
      <right/>
      <top/>
      <bottom style="thick">
        <color theme="4" tint="0.59996337778862885"/>
      </bottom>
      <diagonal/>
    </border>
  </borders>
  <cellStyleXfs count="21">
    <xf numFmtId="0" fontId="0" fillId="0" borderId="0">
      <alignment vertical="center"/>
    </xf>
    <xf numFmtId="0" fontId="22" fillId="0" borderId="1" applyNumberFormat="0" applyFill="0" applyAlignment="0" applyProtection="0"/>
    <xf numFmtId="0" fontId="15" fillId="2" borderId="0" applyNumberFormat="0" applyProtection="0">
      <alignment horizontal="left" vertical="center" indent="1"/>
    </xf>
    <xf numFmtId="0" fontId="23" fillId="0" borderId="0" applyNumberFormat="0" applyFill="0" applyBorder="0" applyAlignment="0" applyProtection="0"/>
    <xf numFmtId="0" fontId="23" fillId="0" borderId="1" applyNumberFormat="0" applyFill="0" applyAlignment="0" applyProtection="0"/>
    <xf numFmtId="0" fontId="23" fillId="0" borderId="0" applyNumberFormat="0" applyFill="0" applyBorder="0" applyAlignment="0" applyProtection="0"/>
    <xf numFmtId="0" fontId="24" fillId="0" borderId="2" applyNumberFormat="0" applyFill="0" applyAlignment="0" applyProtection="0"/>
    <xf numFmtId="181" fontId="19" fillId="0" borderId="0">
      <alignment horizontal="center" vertical="center"/>
    </xf>
    <xf numFmtId="0" fontId="1" fillId="2" borderId="0" applyNumberFormat="0" applyProtection="0">
      <alignment horizontal="right" indent="1"/>
    </xf>
    <xf numFmtId="0" fontId="2" fillId="0" borderId="0" applyNumberFormat="0" applyProtection="0">
      <alignment horizontal="center"/>
    </xf>
    <xf numFmtId="0" fontId="2" fillId="0" borderId="0" applyNumberFormat="0" applyProtection="0">
      <alignment horizontal="center"/>
    </xf>
    <xf numFmtId="0" fontId="20" fillId="0" borderId="0" applyNumberFormat="0" applyFill="0" applyBorder="0" applyProtection="0">
      <alignment horizontal="left" vertical="top"/>
    </xf>
    <xf numFmtId="0" fontId="3" fillId="0" borderId="0">
      <alignment horizontal="left" vertical="center" wrapText="1" indent="1"/>
    </xf>
    <xf numFmtId="179" fontId="3" fillId="0" borderId="0">
      <alignment horizontal="center" vertical="center"/>
    </xf>
    <xf numFmtId="180" fontId="3" fillId="0" borderId="0">
      <alignment horizontal="right" vertical="center"/>
    </xf>
    <xf numFmtId="0" fontId="15" fillId="0" borderId="0">
      <alignment wrapText="1"/>
    </xf>
    <xf numFmtId="0" fontId="17" fillId="3" borderId="3" applyProtection="0"/>
    <xf numFmtId="0" fontId="16" fillId="3" borderId="0">
      <alignment vertical="top" wrapText="1"/>
    </xf>
    <xf numFmtId="178" fontId="18" fillId="3" borderId="0">
      <alignment horizontal="center" vertical="top" wrapText="1"/>
    </xf>
    <xf numFmtId="0" fontId="4" fillId="0" borderId="0" applyNumberFormat="0" applyFill="0" applyBorder="0" applyAlignment="0"/>
    <xf numFmtId="0" fontId="21" fillId="0" borderId="0" applyNumberFormat="0" applyFill="0" applyBorder="0">
      <alignment horizontal="left" vertical="center" wrapText="1"/>
    </xf>
  </cellStyleXfs>
  <cellXfs count="40">
    <xf numFmtId="0" fontId="0" fillId="0" borderId="0" xfId="0">
      <alignment vertical="center"/>
    </xf>
    <xf numFmtId="0" fontId="5" fillId="5" borderId="0" xfId="0" applyFont="1" applyFill="1">
      <alignment vertical="center"/>
    </xf>
    <xf numFmtId="0" fontId="5" fillId="0" borderId="0" xfId="0" applyFont="1">
      <alignment vertical="center"/>
    </xf>
    <xf numFmtId="0" fontId="6" fillId="5" borderId="0" xfId="0" applyFont="1" applyFill="1" applyAlignment="1">
      <alignment horizontal="center" vertical="center" wrapText="1"/>
    </xf>
    <xf numFmtId="0" fontId="9" fillId="5" borderId="0" xfId="15" applyFont="1" applyFill="1">
      <alignment wrapText="1"/>
    </xf>
    <xf numFmtId="0" fontId="4" fillId="5" borderId="0" xfId="15" applyFont="1" applyFill="1">
      <alignment wrapText="1"/>
    </xf>
    <xf numFmtId="0" fontId="7" fillId="5" borderId="0" xfId="0" applyFont="1" applyFill="1" applyAlignment="1">
      <alignment horizontal="center" vertical="top" wrapText="1"/>
    </xf>
    <xf numFmtId="0" fontId="4" fillId="0" borderId="0" xfId="15" applyFont="1">
      <alignment wrapText="1"/>
    </xf>
    <xf numFmtId="0" fontId="9" fillId="0" borderId="0" xfId="0" applyFont="1">
      <alignment vertical="center"/>
    </xf>
    <xf numFmtId="0" fontId="10" fillId="5" borderId="0" xfId="0" applyFont="1" applyFill="1" applyAlignment="1">
      <alignment horizontal="center" vertical="top" wrapText="1"/>
    </xf>
    <xf numFmtId="178" fontId="10" fillId="5" borderId="0" xfId="18" applyFont="1" applyFill="1">
      <alignment horizontal="center" vertical="top" wrapText="1"/>
    </xf>
    <xf numFmtId="0" fontId="9" fillId="4" borderId="0" xfId="0" applyFont="1" applyFill="1">
      <alignment vertical="center"/>
    </xf>
    <xf numFmtId="0" fontId="9" fillId="4" borderId="0" xfId="17" applyFont="1" applyFill="1">
      <alignment vertical="top" wrapText="1"/>
    </xf>
    <xf numFmtId="0" fontId="11" fillId="5" borderId="0" xfId="0" applyFont="1" applyFill="1">
      <alignment vertical="center"/>
    </xf>
    <xf numFmtId="0" fontId="12" fillId="5" borderId="0" xfId="0" applyFont="1" applyFill="1">
      <alignment vertical="center"/>
    </xf>
    <xf numFmtId="0" fontId="9" fillId="0" borderId="0" xfId="12" applyFont="1">
      <alignment horizontal="left" vertical="center" wrapText="1" indent="1"/>
    </xf>
    <xf numFmtId="179" fontId="9" fillId="0" borderId="0" xfId="13" applyFont="1" applyAlignment="1">
      <alignment horizontal="left" vertical="center" indent="1"/>
    </xf>
    <xf numFmtId="0" fontId="5" fillId="5" borderId="0" xfId="0" applyFont="1" applyFill="1" applyAlignment="1">
      <alignment horizontal="center" vertical="center"/>
    </xf>
    <xf numFmtId="0" fontId="5" fillId="0" borderId="0" xfId="0" applyFont="1" applyAlignment="1">
      <alignment horizontal="center" vertical="center"/>
    </xf>
    <xf numFmtId="176" fontId="9" fillId="5" borderId="0" xfId="0" applyNumberFormat="1" applyFont="1" applyFill="1">
      <alignment vertical="center"/>
    </xf>
    <xf numFmtId="177" fontId="9" fillId="5" borderId="0" xfId="0" applyNumberFormat="1" applyFont="1" applyFill="1">
      <alignment vertical="center"/>
    </xf>
    <xf numFmtId="179" fontId="9" fillId="0" borderId="0" xfId="13" applyFont="1">
      <alignment horizontal="center" vertical="center"/>
    </xf>
    <xf numFmtId="0" fontId="13" fillId="5" borderId="0" xfId="0" applyFont="1" applyFill="1">
      <alignment vertical="center"/>
    </xf>
    <xf numFmtId="0" fontId="9" fillId="5" borderId="0" xfId="3" applyFont="1" applyFill="1" applyAlignment="1">
      <alignment horizontal="left" indent="1"/>
    </xf>
    <xf numFmtId="0" fontId="5" fillId="5" borderId="0" xfId="0" applyFont="1" applyFill="1" applyAlignment="1">
      <alignment horizontal="left" vertical="center" indent="1"/>
    </xf>
    <xf numFmtId="0" fontId="14" fillId="5" borderId="0" xfId="11" applyFont="1" applyFill="1" applyAlignment="1">
      <alignment horizontal="left" vertical="top" indent="1"/>
    </xf>
    <xf numFmtId="180" fontId="9" fillId="0" borderId="0" xfId="14" applyFont="1" applyAlignment="1">
      <alignment horizontal="left" vertical="center" indent="1"/>
    </xf>
    <xf numFmtId="181" fontId="9" fillId="0" borderId="0" xfId="7" applyFont="1" applyAlignment="1">
      <alignment horizontal="left" vertical="center" indent="1"/>
    </xf>
    <xf numFmtId="7" fontId="14" fillId="5" borderId="0" xfId="11" applyNumberFormat="1" applyFont="1" applyFill="1" applyAlignment="1">
      <alignment horizontal="left" vertical="top" indent="1"/>
    </xf>
    <xf numFmtId="0" fontId="9" fillId="0" borderId="0" xfId="0" applyFont="1" applyAlignment="1">
      <alignment horizontal="left" vertical="center" indent="1"/>
    </xf>
    <xf numFmtId="0" fontId="6" fillId="5" borderId="0" xfId="16" applyFont="1" applyFill="1" applyBorder="1" applyAlignment="1">
      <alignment horizontal="center" vertical="center"/>
    </xf>
    <xf numFmtId="0" fontId="9" fillId="5" borderId="0" xfId="17" applyFont="1" applyFill="1">
      <alignment vertical="top" wrapText="1"/>
    </xf>
    <xf numFmtId="0" fontId="9" fillId="5" borderId="0" xfId="0" applyFont="1" applyFill="1">
      <alignment vertical="center"/>
    </xf>
    <xf numFmtId="0" fontId="6" fillId="5" borderId="4" xfId="1" applyFont="1" applyFill="1" applyBorder="1" applyAlignment="1">
      <alignment horizontal="center" vertical="center"/>
    </xf>
    <xf numFmtId="0" fontId="9" fillId="5" borderId="0" xfId="17" applyFont="1" applyFill="1" applyAlignment="1">
      <alignment horizontal="left" vertical="center" wrapText="1"/>
    </xf>
    <xf numFmtId="0" fontId="6" fillId="5" borderId="0" xfId="16" applyFont="1" applyFill="1" applyBorder="1" applyAlignment="1">
      <alignment horizontal="center" vertical="center"/>
    </xf>
    <xf numFmtId="0" fontId="10" fillId="5" borderId="0" xfId="0" applyFont="1" applyFill="1" applyAlignment="1">
      <alignment horizontal="center" vertical="center"/>
    </xf>
    <xf numFmtId="0" fontId="9" fillId="5" borderId="0" xfId="17" applyFont="1" applyFill="1" applyAlignment="1">
      <alignment horizontal="left" vertical="top" wrapText="1" indent="1"/>
    </xf>
    <xf numFmtId="0" fontId="9" fillId="5" borderId="0" xfId="17" applyFont="1" applyFill="1">
      <alignment vertical="top" wrapText="1"/>
    </xf>
    <xf numFmtId="0" fontId="9" fillId="5" borderId="0" xfId="0" applyFont="1" applyFill="1">
      <alignment vertical="center"/>
    </xf>
  </cellXfs>
  <cellStyles count="21">
    <cellStyle name="z アイコン セット" xfId="19" xr:uid="{00000000-0005-0000-0000-000014000000}"/>
    <cellStyle name="z アクセシビリティ テキスト" xfId="15" xr:uid="{00000000-0005-0000-0000-000013000000}"/>
    <cellStyle name="タイトル" xfId="1" builtinId="15" customBuiltin="1"/>
    <cellStyle name="ハイパーリンク" xfId="9" builtinId="8" customBuiltin="1"/>
    <cellStyle name="ヒントのテキスト" xfId="17" xr:uid="{00000000-0005-0000-0000-00000F000000}"/>
    <cellStyle name="ヒントの見出し" xfId="16" xr:uid="{00000000-0005-0000-0000-00000D000000}"/>
    <cellStyle name="ヒントの段落番号" xfId="18" xr:uid="{00000000-0005-0000-0000-00000E000000}"/>
    <cellStyle name="フラグの列" xfId="7" xr:uid="{00000000-0005-0000-0000-000000000000}"/>
    <cellStyle name="リンク セル" xfId="8" builtinId="24" customBuiltin="1"/>
    <cellStyle name="見出し 1" xfId="2" builtinId="16" customBuiltin="1"/>
    <cellStyle name="見出し 2" xfId="3" builtinId="17" customBuiltin="1"/>
    <cellStyle name="見出し 3" xfId="4" builtinId="18" customBuiltin="1"/>
    <cellStyle name="見出し 4" xfId="5" builtinId="19" customBuiltin="1"/>
    <cellStyle name="合計数" xfId="11" xr:uid="{00000000-0005-0000-0000-000012000000}"/>
    <cellStyle name="集計" xfId="6" builtinId="25" customBuiltin="1"/>
    <cellStyle name="標準" xfId="0" builtinId="0" customBuiltin="1"/>
    <cellStyle name="表の見出し" xfId="20" xr:uid="{00000000-0005-0000-0000-00000C000000}"/>
    <cellStyle name="表の詳細 (右揃え)" xfId="14" xr:uid="{00000000-0005-0000-0000-00000B000000}"/>
    <cellStyle name="表の詳細 (左揃え)" xfId="12" xr:uid="{00000000-0005-0000-0000-00000A000000}"/>
    <cellStyle name="表の詳細 (中央揃え)" xfId="13" xr:uid="{00000000-0005-0000-0000-000009000000}"/>
    <cellStyle name="表示済みのハイパーリンク" xfId="10" builtinId="9" customBuiltin="1"/>
  </cellStyles>
  <dxfs count="48">
    <dxf>
      <font>
        <b/>
        <i val="0"/>
        <color rgb="FFFF0000"/>
      </font>
    </dxf>
    <dxf>
      <fill>
        <patternFill>
          <bgColor theme="5" tint="0.59996337778862885"/>
        </patternFill>
      </fill>
    </dxf>
    <dxf>
      <numFmt numFmtId="1" formatCode="0"/>
    </dxf>
    <dxf>
      <font>
        <strike val="0"/>
        <outline val="0"/>
        <shadow val="0"/>
        <u val="none"/>
        <vertAlign val="baseline"/>
        <sz val="12"/>
        <color theme="1"/>
        <name val="Meiryo UI"/>
        <family val="3"/>
        <charset val="128"/>
        <scheme val="none"/>
      </font>
      <fill>
        <patternFill patternType="none">
          <fgColor indexed="64"/>
          <bgColor auto="1"/>
        </patternFill>
      </fill>
      <alignment horizontal="left" vertical="center" textRotation="0" indent="1" justifyLastLine="0" shrinkToFit="0" readingOrder="0"/>
    </dxf>
    <dxf>
      <font>
        <strike val="0"/>
        <outline val="0"/>
        <shadow val="0"/>
        <u val="none"/>
        <vertAlign val="baseline"/>
        <sz val="12"/>
        <color theme="1"/>
        <name val="Meiryo UI"/>
        <family val="3"/>
        <charset val="128"/>
        <scheme val="none"/>
      </font>
      <fill>
        <patternFill patternType="none">
          <fgColor indexed="64"/>
          <bgColor auto="1"/>
        </patternFill>
      </fill>
      <alignment horizontal="left" vertical="center" textRotation="0" indent="1" justifyLastLine="0" shrinkToFit="0" readingOrder="0"/>
    </dxf>
    <dxf>
      <font>
        <strike val="0"/>
        <outline val="0"/>
        <shadow val="0"/>
        <u val="none"/>
        <vertAlign val="baseline"/>
        <sz val="12"/>
        <color theme="1"/>
        <name val="Meiryo UI"/>
        <family val="3"/>
        <charset val="128"/>
        <scheme val="none"/>
      </font>
      <fill>
        <patternFill patternType="none">
          <fgColor indexed="64"/>
          <bgColor auto="1"/>
        </patternFill>
      </fill>
      <alignment horizontal="left" vertical="center" textRotation="0" indent="1" justifyLastLine="0" shrinkToFit="0" readingOrder="0"/>
    </dxf>
    <dxf>
      <font>
        <strike val="0"/>
        <outline val="0"/>
        <shadow val="0"/>
        <u val="none"/>
        <vertAlign val="baseline"/>
        <sz val="12"/>
        <color theme="1"/>
        <name val="Meiryo UI"/>
        <family val="3"/>
        <charset val="128"/>
        <scheme val="none"/>
      </font>
      <fill>
        <patternFill patternType="none">
          <fgColor indexed="64"/>
          <bgColor auto="1"/>
        </patternFill>
      </fill>
      <alignment horizontal="left" vertical="center" textRotation="0" indent="1" justifyLastLine="0" shrinkToFit="0" readingOrder="0"/>
    </dxf>
    <dxf>
      <font>
        <strike val="0"/>
        <outline val="0"/>
        <shadow val="0"/>
        <u val="none"/>
        <vertAlign val="baseline"/>
        <sz val="12"/>
        <color theme="1"/>
        <name val="Meiryo UI"/>
        <family val="3"/>
        <charset val="128"/>
        <scheme val="none"/>
      </font>
      <fill>
        <patternFill patternType="none">
          <fgColor indexed="64"/>
          <bgColor auto="1"/>
        </patternFill>
      </fill>
      <alignment horizontal="left" vertical="center" textRotation="0" indent="1" justifyLastLine="0" shrinkToFit="0" readingOrder="0"/>
    </dxf>
    <dxf>
      <font>
        <strike val="0"/>
        <outline val="0"/>
        <shadow val="0"/>
        <u val="none"/>
        <vertAlign val="baseline"/>
        <sz val="12"/>
        <color theme="1"/>
        <name val="Meiryo UI"/>
        <family val="3"/>
        <charset val="128"/>
        <scheme val="none"/>
      </font>
      <fill>
        <patternFill patternType="none">
          <fgColor indexed="64"/>
          <bgColor auto="1"/>
        </patternFill>
      </fill>
      <alignment horizontal="left" vertical="center" textRotation="0" indent="1" justifyLastLine="0" shrinkToFit="0" readingOrder="0"/>
    </dxf>
    <dxf>
      <font>
        <strike val="0"/>
        <outline val="0"/>
        <shadow val="0"/>
        <u val="none"/>
        <vertAlign val="baseline"/>
        <sz val="12"/>
        <color theme="1"/>
        <name val="Gill Sans Nova"/>
        <family val="2"/>
        <scheme val="minor"/>
      </font>
      <fill>
        <patternFill patternType="none">
          <fgColor indexed="64"/>
          <bgColor auto="1"/>
        </patternFill>
      </fill>
      <alignment horizontal="left" vertical="center" textRotation="0" indent="1" justifyLastLine="0" shrinkToFit="0" readingOrder="0"/>
    </dxf>
    <dxf>
      <font>
        <strike val="0"/>
        <outline val="0"/>
        <shadow val="0"/>
        <u val="none"/>
        <vertAlign val="baseline"/>
        <sz val="12"/>
        <color theme="1"/>
        <name val="Meiryo UI"/>
        <family val="3"/>
        <charset val="128"/>
        <scheme val="none"/>
      </font>
      <fill>
        <patternFill patternType="none">
          <fgColor indexed="64"/>
          <bgColor auto="1"/>
        </patternFill>
      </fill>
      <alignment horizontal="left" vertical="center" textRotation="0" indent="1" justifyLastLine="0" shrinkToFit="0" readingOrder="0"/>
    </dxf>
    <dxf>
      <font>
        <b val="0"/>
        <i val="0"/>
        <strike val="0"/>
        <condense val="0"/>
        <extend val="0"/>
        <outline val="0"/>
        <shadow val="0"/>
        <u val="none"/>
        <vertAlign val="baseline"/>
        <sz val="12"/>
        <color theme="3" tint="0.14993743705557422"/>
        <name val="Gill Sans Nova"/>
        <family val="2"/>
        <scheme val="minor"/>
      </font>
      <alignment horizontal="left" vertical="center" textRotation="0" wrapText="0" indent="1" justifyLastLine="0" shrinkToFit="0" readingOrder="0"/>
    </dxf>
    <dxf>
      <font>
        <b val="0"/>
        <i val="0"/>
        <strike val="0"/>
        <condense val="0"/>
        <extend val="0"/>
        <outline val="0"/>
        <shadow val="0"/>
        <u val="none"/>
        <vertAlign val="baseline"/>
        <sz val="12"/>
        <color theme="1"/>
        <name val="Meiryo UI"/>
        <family val="3"/>
        <charset val="128"/>
        <scheme val="none"/>
      </font>
      <numFmt numFmtId="0" formatCode="General"/>
      <fill>
        <patternFill patternType="none">
          <fgColor indexed="64"/>
          <bgColor indexed="65"/>
        </patternFill>
      </fill>
      <alignment horizontal="left" vertical="center" textRotation="0" wrapText="1" indent="1" justifyLastLine="0" shrinkToFit="0" readingOrder="0"/>
      <border diagonalUp="0" diagonalDown="0" outline="0">
        <left/>
        <right/>
        <top/>
        <bottom/>
      </border>
      <protection locked="1" hidden="0"/>
    </dxf>
    <dxf>
      <font>
        <strike val="0"/>
        <outline val="0"/>
        <shadow val="0"/>
        <u val="none"/>
        <vertAlign val="baseline"/>
        <sz val="12"/>
        <color theme="1"/>
        <name val="Meiryo UI"/>
        <family val="3"/>
        <charset val="128"/>
        <scheme val="none"/>
      </font>
      <fill>
        <patternFill patternType="none">
          <fgColor indexed="64"/>
          <bgColor auto="1"/>
        </patternFill>
      </fill>
    </dxf>
    <dxf>
      <font>
        <b val="0"/>
        <i val="0"/>
        <strike val="0"/>
        <condense val="0"/>
        <extend val="0"/>
        <outline val="0"/>
        <shadow val="0"/>
        <u val="none"/>
        <vertAlign val="baseline"/>
        <sz val="12"/>
        <color theme="1"/>
        <name val="Meiryo UI"/>
        <family val="3"/>
        <charset val="128"/>
        <scheme val="none"/>
      </font>
      <numFmt numFmtId="0" formatCode="General"/>
      <fill>
        <patternFill patternType="none">
          <fgColor indexed="64"/>
          <bgColor indexed="65"/>
        </patternFill>
      </fill>
      <alignment horizontal="left" vertical="center" textRotation="0" wrapText="1" indent="1" justifyLastLine="0" shrinkToFit="0" readingOrder="0"/>
      <border diagonalUp="0" diagonalDown="0" outline="0">
        <left/>
        <right/>
        <top/>
        <bottom/>
      </border>
      <protection locked="1" hidden="0"/>
    </dxf>
    <dxf>
      <font>
        <strike val="0"/>
        <outline val="0"/>
        <shadow val="0"/>
        <u val="none"/>
        <vertAlign val="baseline"/>
        <sz val="12"/>
        <color theme="1"/>
        <name val="Meiryo UI"/>
        <family val="3"/>
        <charset val="128"/>
        <scheme val="none"/>
      </font>
      <fill>
        <patternFill patternType="none">
          <fgColor indexed="64"/>
          <bgColor auto="1"/>
        </patternFill>
      </fill>
    </dxf>
    <dxf>
      <font>
        <b val="0"/>
        <i val="0"/>
        <strike val="0"/>
        <condense val="0"/>
        <extend val="0"/>
        <outline val="0"/>
        <shadow val="0"/>
        <u val="none"/>
        <vertAlign val="baseline"/>
        <sz val="12"/>
        <color theme="1"/>
        <name val="Meiryo UI"/>
        <family val="3"/>
        <charset val="128"/>
        <scheme val="none"/>
      </font>
      <numFmt numFmtId="0" formatCode="General"/>
      <fill>
        <patternFill patternType="none">
          <fgColor indexed="64"/>
          <bgColor indexed="65"/>
        </patternFill>
      </fill>
      <alignment horizontal="left" vertical="center" textRotation="0" wrapText="1" indent="1" justifyLastLine="0" shrinkToFit="0" readingOrder="0"/>
      <border diagonalUp="0" diagonalDown="0" outline="0">
        <left/>
        <right/>
        <top/>
        <bottom/>
      </border>
      <protection locked="1" hidden="0"/>
    </dxf>
    <dxf>
      <font>
        <strike val="0"/>
        <outline val="0"/>
        <shadow val="0"/>
        <u val="none"/>
        <vertAlign val="baseline"/>
        <sz val="12"/>
        <color theme="1"/>
        <name val="Meiryo UI"/>
        <family val="3"/>
        <charset val="128"/>
        <scheme val="none"/>
      </font>
      <fill>
        <patternFill patternType="none">
          <fgColor indexed="64"/>
          <bgColor auto="1"/>
        </patternFill>
      </fill>
    </dxf>
    <dxf>
      <font>
        <b val="0"/>
        <i val="0"/>
        <strike val="0"/>
        <condense val="0"/>
        <extend val="0"/>
        <outline val="0"/>
        <shadow val="0"/>
        <u val="none"/>
        <vertAlign val="baseline"/>
        <sz val="12"/>
        <color theme="1"/>
        <name val="Meiryo UI"/>
        <family val="3"/>
        <charset val="128"/>
        <scheme val="none"/>
      </font>
      <numFmt numFmtId="0" formatCode="General"/>
      <fill>
        <patternFill patternType="none">
          <fgColor indexed="64"/>
          <bgColor indexed="65"/>
        </patternFill>
      </fill>
      <alignment horizontal="left" vertical="center" textRotation="0" wrapText="1" indent="1" justifyLastLine="0" shrinkToFit="0" readingOrder="0"/>
      <border diagonalUp="0" diagonalDown="0" outline="0">
        <left/>
        <right/>
        <top/>
        <bottom/>
      </border>
      <protection locked="1" hidden="0"/>
    </dxf>
    <dxf>
      <font>
        <strike val="0"/>
        <outline val="0"/>
        <shadow val="0"/>
        <u val="none"/>
        <vertAlign val="baseline"/>
        <sz val="12"/>
        <color theme="1"/>
        <name val="Meiryo UI"/>
        <family val="3"/>
        <charset val="128"/>
        <scheme val="none"/>
      </font>
      <fill>
        <patternFill patternType="none">
          <fgColor indexed="64"/>
          <bgColor auto="1"/>
        </patternFill>
      </fill>
    </dxf>
    <dxf>
      <font>
        <b val="0"/>
        <i val="0"/>
        <strike val="0"/>
        <condense val="0"/>
        <extend val="0"/>
        <outline val="0"/>
        <shadow val="0"/>
        <u val="none"/>
        <vertAlign val="baseline"/>
        <sz val="12"/>
        <color theme="1"/>
        <name val="Meiryo UI"/>
        <family val="3"/>
        <charset val="128"/>
        <scheme val="none"/>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font>
        <strike val="0"/>
        <outline val="0"/>
        <shadow val="0"/>
        <u val="none"/>
        <vertAlign val="baseline"/>
        <sz val="12"/>
        <color theme="1"/>
        <name val="Meiryo UI"/>
        <family val="3"/>
        <charset val="128"/>
        <scheme val="none"/>
      </font>
      <fill>
        <patternFill patternType="none">
          <fgColor indexed="64"/>
          <bgColor auto="1"/>
        </patternFill>
      </fill>
    </dxf>
    <dxf>
      <font>
        <b val="0"/>
        <i val="0"/>
        <strike val="0"/>
        <condense val="0"/>
        <extend val="0"/>
        <outline val="0"/>
        <shadow val="0"/>
        <u val="none"/>
        <vertAlign val="baseline"/>
        <sz val="12"/>
        <color theme="1"/>
        <name val="Meiryo UI"/>
        <family val="3"/>
        <charset val="128"/>
        <scheme val="none"/>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font>
        <strike val="0"/>
        <outline val="0"/>
        <shadow val="0"/>
        <u val="none"/>
        <vertAlign val="baseline"/>
        <sz val="12"/>
        <color theme="1"/>
        <name val="Meiryo UI"/>
        <family val="3"/>
        <charset val="128"/>
        <scheme val="none"/>
      </font>
      <fill>
        <patternFill patternType="none">
          <fgColor indexed="64"/>
          <bgColor auto="1"/>
        </patternFill>
      </fill>
    </dxf>
    <dxf>
      <font>
        <b val="0"/>
        <i val="0"/>
        <strike val="0"/>
        <condense val="0"/>
        <extend val="0"/>
        <outline val="0"/>
        <shadow val="0"/>
        <u val="none"/>
        <vertAlign val="baseline"/>
        <sz val="12"/>
        <color theme="1"/>
        <name val="Meiryo UI"/>
        <family val="3"/>
        <charset val="128"/>
        <scheme val="none"/>
      </font>
      <numFmt numFmtId="0" formatCode="General"/>
      <fill>
        <patternFill patternType="none">
          <fgColor indexed="64"/>
          <bgColor indexed="65"/>
        </patternFill>
      </fill>
      <alignment horizontal="left" vertical="center" textRotation="0" wrapText="1" indent="1" justifyLastLine="0" shrinkToFit="0" readingOrder="0"/>
      <border diagonalUp="0" diagonalDown="0" outline="0">
        <left/>
        <right/>
        <top/>
        <bottom/>
      </border>
      <protection locked="1" hidden="0"/>
    </dxf>
    <dxf>
      <font>
        <strike val="0"/>
        <outline val="0"/>
        <shadow val="0"/>
        <u val="none"/>
        <vertAlign val="baseline"/>
        <sz val="12"/>
        <color theme="1"/>
        <name val="Meiryo UI"/>
        <family val="3"/>
        <charset val="128"/>
        <scheme val="none"/>
      </font>
      <fill>
        <patternFill patternType="none">
          <fgColor indexed="64"/>
          <bgColor auto="1"/>
        </patternFill>
      </fill>
    </dxf>
    <dxf>
      <font>
        <b val="0"/>
        <i val="0"/>
        <strike val="0"/>
        <condense val="0"/>
        <extend val="0"/>
        <outline val="0"/>
        <shadow val="0"/>
        <u val="none"/>
        <vertAlign val="baseline"/>
        <sz val="12"/>
        <color theme="1"/>
        <name val="Meiryo UI"/>
        <family val="3"/>
        <charset val="128"/>
        <scheme val="none"/>
      </font>
      <numFmt numFmtId="0" formatCode="General"/>
      <fill>
        <patternFill patternType="none">
          <fgColor indexed="64"/>
          <bgColor indexed="65"/>
        </patternFill>
      </fill>
      <alignment horizontal="left" vertical="center" textRotation="0" wrapText="1" indent="1" justifyLastLine="0" shrinkToFit="0" readingOrder="0"/>
      <border diagonalUp="0" diagonalDown="0" outline="0">
        <left/>
        <right/>
        <top/>
        <bottom/>
      </border>
      <protection locked="1" hidden="0"/>
    </dxf>
    <dxf>
      <font>
        <strike val="0"/>
        <outline val="0"/>
        <shadow val="0"/>
        <u val="none"/>
        <vertAlign val="baseline"/>
        <sz val="12"/>
        <color theme="1"/>
        <name val="Meiryo UI"/>
        <family val="3"/>
        <charset val="128"/>
        <scheme val="none"/>
      </font>
      <fill>
        <patternFill patternType="none">
          <fgColor indexed="64"/>
          <bgColor auto="1"/>
        </patternFill>
      </fill>
    </dxf>
    <dxf>
      <font>
        <strike val="0"/>
        <outline val="0"/>
        <shadow val="0"/>
        <u val="none"/>
        <vertAlign val="baseline"/>
        <sz val="12"/>
        <color theme="1"/>
        <name val="Meiryo UI"/>
        <family val="3"/>
        <charset val="128"/>
        <scheme val="none"/>
      </font>
    </dxf>
    <dxf>
      <font>
        <strike val="0"/>
        <outline val="0"/>
        <shadow val="0"/>
        <u val="none"/>
        <vertAlign val="baseline"/>
        <sz val="12"/>
        <color theme="1"/>
        <name val="Meiryo UI"/>
        <family val="3"/>
        <charset val="128"/>
        <scheme val="none"/>
      </font>
      <fill>
        <patternFill patternType="none">
          <fgColor indexed="64"/>
          <bgColor auto="1"/>
        </patternFill>
      </fill>
    </dxf>
    <dxf>
      <font>
        <b val="0"/>
        <i val="0"/>
        <strike val="0"/>
        <condense val="0"/>
        <extend val="0"/>
        <outline val="0"/>
        <shadow val="0"/>
        <u val="none"/>
        <vertAlign val="baseline"/>
        <sz val="12"/>
        <color theme="3" tint="0.14993743705557422"/>
        <name val="Gill Sans Nova"/>
        <family val="2"/>
        <scheme val="minor"/>
      </font>
      <alignment horizontal="left" vertical="center" textRotation="0" wrapText="0" indent="1" justifyLastLine="0" shrinkToFit="0" readingOrder="0"/>
    </dxf>
    <dxf>
      <font>
        <strike val="0"/>
        <outline val="0"/>
        <shadow val="0"/>
        <u val="none"/>
        <vertAlign val="baseline"/>
        <sz val="12"/>
        <color theme="1"/>
        <name val="Meiryo UI"/>
        <family val="3"/>
        <charset val="128"/>
        <scheme val="none"/>
      </font>
      <fill>
        <patternFill patternType="none">
          <fgColor indexed="64"/>
          <bgColor auto="1"/>
        </patternFill>
      </fill>
      <alignment horizontal="left" vertical="center" textRotation="0" indent="1" justifyLastLine="0" shrinkToFit="0" readingOrder="0"/>
    </dxf>
    <dxf>
      <font>
        <strike val="0"/>
        <outline val="0"/>
        <shadow val="0"/>
        <u val="none"/>
        <vertAlign val="baseline"/>
        <sz val="12"/>
        <color theme="1"/>
        <name val="Meiryo UI"/>
        <family val="3"/>
        <charset val="128"/>
        <scheme val="none"/>
      </font>
      <fill>
        <patternFill patternType="none">
          <fgColor indexed="64"/>
          <bgColor auto="1"/>
        </patternFill>
      </fill>
      <alignment horizontal="left" vertical="center" textRotation="0" indent="1" justifyLastLine="0" shrinkToFit="0" readingOrder="0"/>
    </dxf>
    <dxf>
      <font>
        <strike val="0"/>
        <outline val="0"/>
        <shadow val="0"/>
        <u val="none"/>
        <vertAlign val="baseline"/>
        <sz val="12"/>
        <color theme="1"/>
        <name val="Meiryo UI"/>
        <family val="3"/>
        <charset val="128"/>
        <scheme val="none"/>
      </font>
      <fill>
        <patternFill patternType="none">
          <fgColor indexed="64"/>
          <bgColor auto="1"/>
        </patternFill>
      </fill>
      <alignment horizontal="left" vertical="center" textRotation="0" indent="1" justifyLastLine="0" shrinkToFit="0" readingOrder="0"/>
    </dxf>
    <dxf>
      <font>
        <strike val="0"/>
        <outline val="0"/>
        <shadow val="0"/>
        <u val="none"/>
        <vertAlign val="baseline"/>
        <sz val="12"/>
        <color theme="1"/>
        <name val="Meiryo UI"/>
        <family val="3"/>
        <charset val="128"/>
        <scheme val="none"/>
      </font>
      <fill>
        <patternFill patternType="none">
          <fgColor indexed="64"/>
          <bgColor auto="1"/>
        </patternFill>
      </fill>
      <alignment horizontal="left" vertical="center" textRotation="0" indent="1" justifyLastLine="0" shrinkToFit="0" readingOrder="0"/>
    </dxf>
    <dxf>
      <font>
        <strike val="0"/>
        <outline val="0"/>
        <shadow val="0"/>
        <u val="none"/>
        <vertAlign val="baseline"/>
        <sz val="12"/>
        <color theme="1"/>
        <name val="Meiryo UI"/>
        <family val="3"/>
        <charset val="128"/>
        <scheme val="none"/>
      </font>
      <fill>
        <patternFill patternType="none">
          <fgColor indexed="64"/>
          <bgColor auto="1"/>
        </patternFill>
      </fill>
      <alignment horizontal="left" vertical="center" textRotation="0" indent="1" justifyLastLine="0" shrinkToFit="0" readingOrder="0"/>
    </dxf>
    <dxf>
      <font>
        <strike val="0"/>
        <outline val="0"/>
        <shadow val="0"/>
        <u val="none"/>
        <vertAlign val="baseline"/>
        <sz val="12"/>
        <color theme="1"/>
        <name val="Meiryo UI"/>
        <family val="3"/>
        <charset val="128"/>
        <scheme val="none"/>
      </font>
      <fill>
        <patternFill patternType="none">
          <fgColor indexed="64"/>
          <bgColor auto="1"/>
        </patternFill>
      </fill>
      <alignment horizontal="left" vertical="center" textRotation="0" indent="1" justifyLastLine="0" shrinkToFit="0" readingOrder="0"/>
    </dxf>
    <dxf>
      <font>
        <strike val="0"/>
        <outline val="0"/>
        <shadow val="0"/>
        <u val="none"/>
        <vertAlign val="baseline"/>
        <sz val="12"/>
        <color theme="1"/>
        <name val="Meiryo UI"/>
        <family val="3"/>
        <charset val="128"/>
        <scheme val="none"/>
      </font>
      <fill>
        <patternFill patternType="none">
          <fgColor indexed="64"/>
          <bgColor auto="1"/>
        </patternFill>
      </fill>
      <alignment horizontal="left" vertical="center" textRotation="0" indent="1" justifyLastLine="0" shrinkToFit="0" readingOrder="0"/>
    </dxf>
    <dxf>
      <font>
        <strike val="0"/>
        <outline val="0"/>
        <shadow val="0"/>
        <u val="none"/>
        <vertAlign val="baseline"/>
        <sz val="12"/>
        <color theme="1"/>
        <name val="Meiryo UI"/>
        <family val="3"/>
        <charset val="128"/>
        <scheme val="none"/>
      </font>
      <fill>
        <patternFill patternType="none">
          <fgColor indexed="64"/>
          <bgColor auto="1"/>
        </patternFill>
      </fill>
      <alignment horizontal="left" vertical="center" textRotation="0" indent="1" justifyLastLine="0" shrinkToFit="0" readingOrder="0"/>
    </dxf>
    <dxf>
      <font>
        <strike val="0"/>
        <outline val="0"/>
        <shadow val="0"/>
        <u val="none"/>
        <vertAlign val="baseline"/>
        <sz val="12"/>
        <color theme="1"/>
        <name val="Meiryo UI"/>
        <family val="3"/>
        <charset val="128"/>
        <scheme val="none"/>
      </font>
      <fill>
        <patternFill patternType="none">
          <fgColor indexed="64"/>
          <bgColor auto="1"/>
        </patternFill>
      </fill>
      <alignment horizontal="left" vertical="center" textRotation="0" indent="1" justifyLastLine="0" shrinkToFit="0" readingOrder="0"/>
    </dxf>
    <dxf>
      <font>
        <strike val="0"/>
        <outline val="0"/>
        <shadow val="0"/>
        <u val="none"/>
        <vertAlign val="baseline"/>
        <sz val="12"/>
        <color theme="1"/>
        <name val="Meiryo UI"/>
        <family val="3"/>
        <charset val="128"/>
        <scheme val="none"/>
      </font>
      <fill>
        <patternFill patternType="none">
          <fgColor indexed="64"/>
          <bgColor auto="1"/>
        </patternFill>
      </fill>
      <alignment horizontal="left" vertical="center" textRotation="0" indent="1" justifyLastLine="0" shrinkToFit="0" readingOrder="0"/>
    </dxf>
    <dxf>
      <font>
        <strike val="0"/>
        <outline val="0"/>
        <shadow val="0"/>
        <u val="none"/>
        <vertAlign val="baseline"/>
        <sz val="12"/>
        <name val="Gill Sans Nova"/>
        <family val="2"/>
        <scheme val="minor"/>
      </font>
      <fill>
        <patternFill patternType="none">
          <fgColor indexed="64"/>
          <bgColor auto="1"/>
        </patternFill>
      </fill>
      <alignment vertical="center" textRotation="0" wrapText="0" indent="0" justifyLastLine="0" shrinkToFit="0" readingOrder="0"/>
    </dxf>
    <dxf>
      <font>
        <strike val="0"/>
        <outline val="0"/>
        <shadow val="0"/>
        <u val="none"/>
        <vertAlign val="baseline"/>
        <sz val="12"/>
        <color theme="1"/>
        <name val="Meiryo UI"/>
        <family val="3"/>
        <charset val="128"/>
        <scheme val="none"/>
      </font>
      <fill>
        <patternFill patternType="none">
          <fgColor indexed="64"/>
          <bgColor auto="1"/>
        </patternFill>
      </fill>
      <alignment horizontal="left" vertical="center" textRotation="0" indent="1" justifyLastLine="0" shrinkToFit="0" readingOrder="0"/>
    </dxf>
    <dxf>
      <font>
        <b val="0"/>
        <i val="0"/>
        <strike val="0"/>
        <condense val="0"/>
        <extend val="0"/>
        <outline val="0"/>
        <shadow val="0"/>
        <u val="none"/>
        <vertAlign val="baseline"/>
        <sz val="12"/>
        <color theme="3" tint="0.14993743705557422"/>
        <name val="Gill Sans Nova"/>
        <family val="2"/>
        <scheme val="minor"/>
      </font>
      <alignment horizontal="left" vertical="center" textRotation="0" wrapText="0" indent="1" justifyLastLine="0" shrinkToFit="0" readingOrder="0"/>
    </dxf>
    <dxf>
      <fill>
        <patternFill>
          <fgColor theme="0" tint="-4.9989318521683403E-2"/>
          <bgColor theme="0" tint="-4.9989318521683403E-2"/>
        </patternFill>
      </fill>
    </dxf>
    <dxf>
      <fill>
        <patternFill>
          <fgColor theme="0"/>
          <bgColor theme="0"/>
        </patternFill>
      </fill>
    </dxf>
    <dxf>
      <font>
        <b val="0"/>
        <i val="0"/>
        <color theme="1"/>
      </font>
      <fill>
        <patternFill patternType="solid">
          <fgColor theme="4" tint="0.59996337778862885"/>
          <bgColor theme="4" tint="0.59996337778862885"/>
        </patternFill>
      </fill>
    </dxf>
    <dxf>
      <border diagonalUp="0" diagonalDown="0">
        <left/>
        <right/>
        <top/>
        <bottom/>
        <vertical/>
        <horizontal/>
      </border>
    </dxf>
  </dxfs>
  <tableStyles count="1" defaultPivotStyle="PivotStyleMedium2">
    <tableStyle name="在庫表" pivot="0" count="4" xr9:uid="{00000000-0011-0000-FFFF-FFFF00000000}">
      <tableStyleElement type="wholeTable" dxfId="47"/>
      <tableStyleElement type="headerRow" dxfId="46"/>
      <tableStyleElement type="lastColumn" dxfId="45"/>
      <tableStyleElement type="secondRowStripe" dxfId="44"/>
    </tableStyle>
  </tableStyles>
  <colors>
    <mruColors>
      <color rgb="FF21734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hyperlink" Target="#'&#21442;&#29031;'!A1"/><Relationship Id="rId2" Type="http://schemas.openxmlformats.org/officeDocument/2006/relationships/hyperlink" Target="#'&#22312;&#24235;&#12500;&#12483;&#12461;&#12531;&#12464; &#12522;&#12473;&#12488;'!A1"/><Relationship Id="rId1" Type="http://schemas.openxmlformats.org/officeDocument/2006/relationships/hyperlink" Target="#'&#38283;&#22987;'!A1"/><Relationship Id="rId5" Type="http://schemas.openxmlformats.org/officeDocument/2006/relationships/hyperlink" Target="#'&#12490;&#12499;&#12466;&#12540;&#12471;&#12519;&#12531;&#8203;&#8203; &#12522;&#12531;&#12463;'!A1"/><Relationship Id="rId4" Type="http://schemas.openxmlformats.org/officeDocument/2006/relationships/hyperlink" Target="#'&#22312;&#24235;&#12522;&#12473;&#12488;'!A1"/></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sv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hyperlink" Target="https://support.microsoft.com/ja-JP/office/make-your-excel-documents-accessible-to-people-with-disabilities-6cc05fc5-1314-48b5-8eb3-683e49b3e593?ui=ja-JP&amp;rs=ja-JP&amp;ad=us" TargetMode="External"/></Relationships>
</file>

<file path=xl/drawings/drawing1.xml><?xml version="1.0" encoding="utf-8"?>
<xdr:wsDr xmlns:xdr="http://schemas.openxmlformats.org/drawingml/2006/spreadsheetDrawing" xmlns:a="http://schemas.openxmlformats.org/drawingml/2006/main">
  <xdr:twoCellAnchor>
    <xdr:from>
      <xdr:col>6</xdr:col>
      <xdr:colOff>666748</xdr:colOff>
      <xdr:row>2</xdr:row>
      <xdr:rowOff>190500</xdr:rowOff>
    </xdr:from>
    <xdr:to>
      <xdr:col>8</xdr:col>
      <xdr:colOff>1014748</xdr:colOff>
      <xdr:row>3</xdr:row>
      <xdr:rowOff>203200</xdr:rowOff>
    </xdr:to>
    <xdr:sp macro="" textlink="">
      <xdr:nvSpPr>
        <xdr:cNvPr id="4" name="角丸四角形 3" descr="[開始] ワークシートの移動ボタン">
          <a:hlinkClick xmlns:r="http://schemas.openxmlformats.org/officeDocument/2006/relationships" r:id="rId1"/>
          <a:extLst>
            <a:ext uri="{FF2B5EF4-FFF2-40B4-BE49-F238E27FC236}">
              <a16:creationId xmlns:a16="http://schemas.microsoft.com/office/drawing/2014/main" id="{702EED06-0806-9640-BFD1-EA4F88C30865}"/>
            </a:ext>
          </a:extLst>
        </xdr:cNvPr>
        <xdr:cNvSpPr/>
      </xdr:nvSpPr>
      <xdr:spPr>
        <a:xfrm>
          <a:off x="9439273" y="1581150"/>
          <a:ext cx="2786400" cy="412750"/>
        </a:xfrm>
        <a:prstGeom prst="roundRect">
          <a:avLst>
            <a:gd name="adj" fmla="val 50000"/>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0"/>
          <a:r>
            <a:rPr lang="ja" sz="1600" b="0" i="0" baseline="0">
              <a:solidFill>
                <a:schemeClr val="tx1"/>
              </a:solidFill>
              <a:latin typeface="Meiryo UI" panose="020B0604030504040204" pitchFamily="50" charset="-128"/>
              <a:ea typeface="Meiryo UI" panose="020B0604030504040204" pitchFamily="50" charset="-128"/>
            </a:rPr>
            <a:t>&lt; 開始</a:t>
          </a:r>
        </a:p>
      </xdr:txBody>
    </xdr:sp>
    <xdr:clientData/>
  </xdr:twoCellAnchor>
  <xdr:twoCellAnchor>
    <xdr:from>
      <xdr:col>9</xdr:col>
      <xdr:colOff>206375</xdr:colOff>
      <xdr:row>2</xdr:row>
      <xdr:rowOff>190500</xdr:rowOff>
    </xdr:from>
    <xdr:to>
      <xdr:col>11</xdr:col>
      <xdr:colOff>3175</xdr:colOff>
      <xdr:row>3</xdr:row>
      <xdr:rowOff>203200</xdr:rowOff>
    </xdr:to>
    <xdr:sp macro="" textlink="">
      <xdr:nvSpPr>
        <xdr:cNvPr id="5" name="角丸四角形 4" descr="[在庫ピッキング リスト] ワークシートの移動ボタン">
          <a:hlinkClick xmlns:r="http://schemas.openxmlformats.org/officeDocument/2006/relationships" r:id="rId2"/>
          <a:extLst>
            <a:ext uri="{FF2B5EF4-FFF2-40B4-BE49-F238E27FC236}">
              <a16:creationId xmlns:a16="http://schemas.microsoft.com/office/drawing/2014/main" id="{EFE98E6E-2F5B-A646-AC1A-0383AC2389AF}"/>
            </a:ext>
          </a:extLst>
        </xdr:cNvPr>
        <xdr:cNvSpPr/>
      </xdr:nvSpPr>
      <xdr:spPr>
        <a:xfrm>
          <a:off x="12798425" y="1581150"/>
          <a:ext cx="2797175" cy="412750"/>
        </a:xfrm>
        <a:prstGeom prst="roundRect">
          <a:avLst>
            <a:gd name="adj" fmla="val 50000"/>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0"/>
          <a:r>
            <a:rPr lang="ja" sz="1600" b="0" i="0" baseline="0">
              <a:solidFill>
                <a:schemeClr val="tx1"/>
              </a:solidFill>
              <a:latin typeface="Meiryo UI" panose="020B0604030504040204" pitchFamily="50" charset="-128"/>
              <a:ea typeface="Meiryo UI" panose="020B0604030504040204" pitchFamily="50" charset="-128"/>
            </a:rPr>
            <a:t>在庫ピッキング リスト &gt;</a:t>
          </a:r>
        </a:p>
      </xdr:txBody>
    </xdr:sp>
    <xdr:clientData/>
  </xdr:twoCellAnchor>
  <xdr:twoCellAnchor>
    <xdr:from>
      <xdr:col>9</xdr:col>
      <xdr:colOff>168275</xdr:colOff>
      <xdr:row>21</xdr:row>
      <xdr:rowOff>215900</xdr:rowOff>
    </xdr:from>
    <xdr:to>
      <xdr:col>10</xdr:col>
      <xdr:colOff>42875</xdr:colOff>
      <xdr:row>22</xdr:row>
      <xdr:rowOff>228600</xdr:rowOff>
    </xdr:to>
    <xdr:sp macro="" textlink="">
      <xdr:nvSpPr>
        <xdr:cNvPr id="6" name="角丸四角形 3" descr="[ルックアップ] ワークシートの移動ボタン">
          <a:hlinkClick xmlns:r="http://schemas.openxmlformats.org/officeDocument/2006/relationships" r:id="rId3"/>
          <a:extLst>
            <a:ext uri="{FF2B5EF4-FFF2-40B4-BE49-F238E27FC236}">
              <a16:creationId xmlns:a16="http://schemas.microsoft.com/office/drawing/2014/main" id="{324EF6B6-7B00-4951-AD59-F044BE5C598B}"/>
            </a:ext>
          </a:extLst>
        </xdr:cNvPr>
        <xdr:cNvSpPr/>
      </xdr:nvSpPr>
      <xdr:spPr>
        <a:xfrm>
          <a:off x="10760075" y="1606550"/>
          <a:ext cx="2084400" cy="412750"/>
        </a:xfrm>
        <a:prstGeom prst="roundRect">
          <a:avLst>
            <a:gd name="adj" fmla="val 50000"/>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0"/>
          <a:r>
            <a:rPr lang="ja" sz="1600" b="0" i="0" baseline="0">
              <a:solidFill>
                <a:schemeClr val="tx1"/>
              </a:solidFill>
              <a:latin typeface="Meiryo UI" panose="020B0604030504040204" pitchFamily="50" charset="-128"/>
              <a:ea typeface="Meiryo UI" panose="020B0604030504040204" pitchFamily="50" charset="-128"/>
            </a:rPr>
            <a:t>参照 &gt;</a:t>
          </a:r>
        </a:p>
      </xdr:txBody>
    </xdr:sp>
    <xdr:clientData/>
  </xdr:twoCellAnchor>
  <xdr:twoCellAnchor>
    <xdr:from>
      <xdr:col>7</xdr:col>
      <xdr:colOff>571499</xdr:colOff>
      <xdr:row>21</xdr:row>
      <xdr:rowOff>215900</xdr:rowOff>
    </xdr:from>
    <xdr:to>
      <xdr:col>8</xdr:col>
      <xdr:colOff>1247775</xdr:colOff>
      <xdr:row>22</xdr:row>
      <xdr:rowOff>228600</xdr:rowOff>
    </xdr:to>
    <xdr:sp macro="" textlink="">
      <xdr:nvSpPr>
        <xdr:cNvPr id="7" name="角丸四角形 5" descr="[在庫リスト] ワークシートの移動ボタン">
          <a:hlinkClick xmlns:r="http://schemas.openxmlformats.org/officeDocument/2006/relationships" r:id="rId4"/>
          <a:extLst>
            <a:ext uri="{FF2B5EF4-FFF2-40B4-BE49-F238E27FC236}">
              <a16:creationId xmlns:a16="http://schemas.microsoft.com/office/drawing/2014/main" id="{1AC70769-6548-4893-9947-0D7BBE355418}"/>
            </a:ext>
          </a:extLst>
        </xdr:cNvPr>
        <xdr:cNvSpPr/>
      </xdr:nvSpPr>
      <xdr:spPr>
        <a:xfrm>
          <a:off x="8448674" y="1606550"/>
          <a:ext cx="2076451" cy="412750"/>
        </a:xfrm>
        <a:prstGeom prst="roundRect">
          <a:avLst>
            <a:gd name="adj" fmla="val 50000"/>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0"/>
          <a:r>
            <a:rPr lang="ja" sz="1600" b="0" i="0">
              <a:solidFill>
                <a:schemeClr val="tx1"/>
              </a:solidFill>
              <a:latin typeface="Meiryo UI" panose="020B0604030504040204" pitchFamily="50" charset="-128"/>
              <a:ea typeface="Meiryo UI" panose="020B0604030504040204" pitchFamily="50" charset="-128"/>
            </a:rPr>
            <a:t>&lt; 在庫</a:t>
          </a:r>
          <a:r>
            <a:rPr lang="ja" sz="1600" b="0" i="0" baseline="0">
              <a:solidFill>
                <a:schemeClr val="tx1"/>
              </a:solidFill>
              <a:latin typeface="Meiryo UI" panose="020B0604030504040204" pitchFamily="50" charset="-128"/>
              <a:ea typeface="Meiryo UI" panose="020B0604030504040204" pitchFamily="50" charset="-128"/>
            </a:rPr>
            <a:t>リ</a:t>
          </a:r>
          <a:r>
            <a:rPr lang="ja" sz="1600" b="0" i="0">
              <a:solidFill>
                <a:schemeClr val="tx1"/>
              </a:solidFill>
              <a:latin typeface="Meiryo UI" panose="020B0604030504040204" pitchFamily="50" charset="-128"/>
              <a:ea typeface="Meiryo UI" panose="020B0604030504040204" pitchFamily="50" charset="-128"/>
            </a:rPr>
            <a:t>スト</a:t>
          </a:r>
        </a:p>
      </xdr:txBody>
    </xdr:sp>
    <xdr:clientData/>
  </xdr:twoCellAnchor>
  <xdr:twoCellAnchor>
    <xdr:from>
      <xdr:col>3</xdr:col>
      <xdr:colOff>241300</xdr:colOff>
      <xdr:row>32</xdr:row>
      <xdr:rowOff>203200</xdr:rowOff>
    </xdr:from>
    <xdr:to>
      <xdr:col>4</xdr:col>
      <xdr:colOff>1346200</xdr:colOff>
      <xdr:row>33</xdr:row>
      <xdr:rowOff>215900</xdr:rowOff>
    </xdr:to>
    <xdr:sp macro="" textlink="">
      <xdr:nvSpPr>
        <xdr:cNvPr id="10" name="角丸四角形 3" descr="[在庫ピッキング リスト] ワークシートの移動ボタン">
          <a:hlinkClick xmlns:r="http://schemas.openxmlformats.org/officeDocument/2006/relationships" r:id="rId2"/>
          <a:extLst>
            <a:ext uri="{FF2B5EF4-FFF2-40B4-BE49-F238E27FC236}">
              <a16:creationId xmlns:a16="http://schemas.microsoft.com/office/drawing/2014/main" id="{2B468EAB-56CA-43D9-BCB6-1CA7CD8F3D20}"/>
            </a:ext>
          </a:extLst>
        </xdr:cNvPr>
        <xdr:cNvSpPr/>
      </xdr:nvSpPr>
      <xdr:spPr>
        <a:xfrm>
          <a:off x="2755900" y="1593850"/>
          <a:ext cx="2990850" cy="412750"/>
        </a:xfrm>
        <a:prstGeom prst="roundRect">
          <a:avLst>
            <a:gd name="adj" fmla="val 50000"/>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0"/>
          <a:r>
            <a:rPr lang="ja" sz="1600" b="0" i="0">
              <a:solidFill>
                <a:schemeClr val="tx1"/>
              </a:solidFill>
              <a:latin typeface="Meiryo UI" panose="020B0604030504040204" pitchFamily="50" charset="-128"/>
              <a:ea typeface="Meiryo UI" panose="020B0604030504040204" pitchFamily="50" charset="-128"/>
            </a:rPr>
            <a:t>&lt; 在庫ピッキング</a:t>
          </a:r>
          <a:r>
            <a:rPr lang="ja" sz="1600" b="0" i="0" baseline="0">
              <a:solidFill>
                <a:schemeClr val="tx1"/>
              </a:solidFill>
              <a:latin typeface="Meiryo UI" panose="020B0604030504040204" pitchFamily="50" charset="-128"/>
              <a:ea typeface="Meiryo UI" panose="020B0604030504040204" pitchFamily="50" charset="-128"/>
            </a:rPr>
            <a:t> </a:t>
          </a:r>
          <a:r>
            <a:rPr lang="ja" sz="1600" b="0" i="0">
              <a:solidFill>
                <a:schemeClr val="tx1"/>
              </a:solidFill>
              <a:latin typeface="Meiryo UI" panose="020B0604030504040204" pitchFamily="50" charset="-128"/>
              <a:ea typeface="Meiryo UI" panose="020B0604030504040204" pitchFamily="50" charset="-128"/>
            </a:rPr>
            <a:t>リスト</a:t>
          </a:r>
        </a:p>
      </xdr:txBody>
    </xdr:sp>
    <xdr:clientData/>
  </xdr:twoCellAnchor>
  <xdr:twoCellAnchor>
    <xdr:from>
      <xdr:col>5</xdr:col>
      <xdr:colOff>139700</xdr:colOff>
      <xdr:row>32</xdr:row>
      <xdr:rowOff>203200</xdr:rowOff>
    </xdr:from>
    <xdr:to>
      <xdr:col>8</xdr:col>
      <xdr:colOff>25400</xdr:colOff>
      <xdr:row>33</xdr:row>
      <xdr:rowOff>215900</xdr:rowOff>
    </xdr:to>
    <xdr:sp macro="" textlink="">
      <xdr:nvSpPr>
        <xdr:cNvPr id="11" name="角丸四角形 4" descr="[ナビゲーション リンク] ワークシートの移動ボタン">
          <a:hlinkClick xmlns:r="http://schemas.openxmlformats.org/officeDocument/2006/relationships" r:id="rId5"/>
          <a:extLst>
            <a:ext uri="{FF2B5EF4-FFF2-40B4-BE49-F238E27FC236}">
              <a16:creationId xmlns:a16="http://schemas.microsoft.com/office/drawing/2014/main" id="{77918512-005A-43EC-9DA5-BCC95910E300}"/>
            </a:ext>
          </a:extLst>
        </xdr:cNvPr>
        <xdr:cNvSpPr/>
      </xdr:nvSpPr>
      <xdr:spPr>
        <a:xfrm>
          <a:off x="6330950" y="1593850"/>
          <a:ext cx="3343275" cy="412750"/>
        </a:xfrm>
        <a:prstGeom prst="roundRect">
          <a:avLst>
            <a:gd name="adj" fmla="val 50000"/>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0"/>
          <a:r>
            <a:rPr lang="ja" sz="1600" b="0" i="0" baseline="0">
              <a:solidFill>
                <a:schemeClr val="tx1"/>
              </a:solidFill>
              <a:latin typeface="Meiryo UI" panose="020B0604030504040204" pitchFamily="50" charset="-128"/>
              <a:ea typeface="Meiryo UI" panose="020B0604030504040204" pitchFamily="50" charset="-128"/>
            </a:rPr>
            <a:t>ナビゲーション​​ リンク &gt;</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534358</xdr:colOff>
      <xdr:row>2</xdr:row>
      <xdr:rowOff>885826</xdr:rowOff>
    </xdr:from>
    <xdr:to>
      <xdr:col>2</xdr:col>
      <xdr:colOff>5895975</xdr:colOff>
      <xdr:row>4</xdr:row>
      <xdr:rowOff>142875</xdr:rowOff>
    </xdr:to>
    <xdr:pic>
      <xdr:nvPicPr>
        <xdr:cNvPr id="4" name="画像 3" descr="緑色と白色の長方形オブジェクトの [説明] の自動生成">
          <a:extLst>
            <a:ext uri="{FF2B5EF4-FFF2-40B4-BE49-F238E27FC236}">
              <a16:creationId xmlns:a16="http://schemas.microsoft.com/office/drawing/2014/main" id="{AC60E76E-A162-91DF-0C98-2B3EDB797A98}"/>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 t="-24355" r="-3913" b="-27806"/>
        <a:stretch/>
      </xdr:blipFill>
      <xdr:spPr>
        <a:xfrm>
          <a:off x="1029658" y="2533651"/>
          <a:ext cx="6018842" cy="1876424"/>
        </a:xfrm>
        <a:prstGeom prst="rect">
          <a:avLst/>
        </a:prstGeom>
        <a:effectLst>
          <a:outerShdw blurRad="292100" dist="139700" dir="2700000" algn="tl" rotWithShape="0">
            <a:prstClr val="black">
              <a:alpha val="65000"/>
            </a:prstClr>
          </a:outerShdw>
        </a:effectLst>
      </xdr:spPr>
    </xdr:pic>
    <xdr:clientData/>
  </xdr:twoCellAnchor>
  <xdr:twoCellAnchor editAs="oneCell">
    <xdr:from>
      <xdr:col>1</xdr:col>
      <xdr:colOff>504825</xdr:colOff>
      <xdr:row>5</xdr:row>
      <xdr:rowOff>342900</xdr:rowOff>
    </xdr:from>
    <xdr:to>
      <xdr:col>2</xdr:col>
      <xdr:colOff>5562600</xdr:colOff>
      <xdr:row>7</xdr:row>
      <xdr:rowOff>228600</xdr:rowOff>
    </xdr:to>
    <xdr:pic>
      <xdr:nvPicPr>
        <xdr:cNvPr id="5" name="画像 4" descr="緑色と白色の角が取れた長方形オブジェクトの [説明] の自動生成">
          <a:extLst>
            <a:ext uri="{FF2B5EF4-FFF2-40B4-BE49-F238E27FC236}">
              <a16:creationId xmlns:a16="http://schemas.microsoft.com/office/drawing/2014/main" id="{DB0C1439-A994-A4CC-7447-37E30B5E2716}"/>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9125" t="1143" r="-10938" b="12"/>
        <a:stretch/>
      </xdr:blipFill>
      <xdr:spPr>
        <a:xfrm>
          <a:off x="1000125" y="5238750"/>
          <a:ext cx="5715000" cy="1333500"/>
        </a:xfrm>
        <a:prstGeom prst="rect">
          <a:avLst/>
        </a:prstGeom>
        <a:effectLst>
          <a:outerShdw blurRad="292100" dist="139700" dir="2700000" algn="tl" rotWithShape="0">
            <a:prstClr val="black">
              <a:alpha val="65000"/>
            </a:prstClr>
          </a:outerShdw>
        </a:effectLst>
      </xdr:spPr>
    </xdr:pic>
    <xdr:clientData/>
  </xdr:twoCellAnchor>
  <xdr:twoCellAnchor>
    <xdr:from>
      <xdr:col>0</xdr:col>
      <xdr:colOff>295275</xdr:colOff>
      <xdr:row>21</xdr:row>
      <xdr:rowOff>209549</xdr:rowOff>
    </xdr:from>
    <xdr:to>
      <xdr:col>5</xdr:col>
      <xdr:colOff>5393185</xdr:colOff>
      <xdr:row>35</xdr:row>
      <xdr:rowOff>123825</xdr:rowOff>
    </xdr:to>
    <xdr:grpSp>
      <xdr:nvGrpSpPr>
        <xdr:cNvPr id="20" name="グループ 15" descr="条件付き書式を示すスクリーンショット">
          <a:extLst>
            <a:ext uri="{FF2B5EF4-FFF2-40B4-BE49-F238E27FC236}">
              <a16:creationId xmlns:a16="http://schemas.microsoft.com/office/drawing/2014/main" id="{ED923AAE-19E3-403B-9A8D-457C11DDD9B5}"/>
            </a:ext>
          </a:extLst>
        </xdr:cNvPr>
        <xdr:cNvGrpSpPr/>
      </xdr:nvGrpSpPr>
      <xdr:grpSpPr>
        <a:xfrm>
          <a:off x="295275" y="15411449"/>
          <a:ext cx="14489560" cy="6848476"/>
          <a:chOff x="8708995" y="5143499"/>
          <a:chExt cx="9248400" cy="3643895"/>
        </a:xfrm>
      </xdr:grpSpPr>
      <xdr:pic>
        <xdr:nvPicPr>
          <xdr:cNvPr id="21" name="画像 2">
            <a:extLst>
              <a:ext uri="{FF2B5EF4-FFF2-40B4-BE49-F238E27FC236}">
                <a16:creationId xmlns:a16="http://schemas.microsoft.com/office/drawing/2014/main" id="{076004BF-64EE-6FE7-151D-9B888D3BF9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xdr:blipFill>
        <xdr:spPr>
          <a:xfrm>
            <a:off x="8708995" y="5143499"/>
            <a:ext cx="9248400" cy="3643895"/>
          </a:xfrm>
          <a:prstGeom prst="rect">
            <a:avLst/>
          </a:prstGeom>
          <a:ln>
            <a:noFill/>
          </a:ln>
          <a:effectLst>
            <a:outerShdw blurRad="292100" dist="139700" dir="2700000" algn="tl" rotWithShape="0">
              <a:srgbClr val="333333">
                <a:alpha val="65000"/>
              </a:srgbClr>
            </a:outerShdw>
          </a:effectLst>
        </xdr:spPr>
      </xdr:pic>
      <xdr:grpSp>
        <xdr:nvGrpSpPr>
          <xdr:cNvPr id="22" name="グループ 11">
            <a:extLst>
              <a:ext uri="{FF2B5EF4-FFF2-40B4-BE49-F238E27FC236}">
                <a16:creationId xmlns:a16="http://schemas.microsoft.com/office/drawing/2014/main" id="{D4EF0DE1-75C2-723C-AD35-656EC44511B1}"/>
              </a:ext>
            </a:extLst>
          </xdr:cNvPr>
          <xdr:cNvGrpSpPr/>
        </xdr:nvGrpSpPr>
        <xdr:grpSpPr>
          <a:xfrm>
            <a:off x="9536387" y="6891474"/>
            <a:ext cx="304797" cy="423333"/>
            <a:chOff x="7527235" y="7085431"/>
            <a:chExt cx="914399" cy="1269998"/>
          </a:xfrm>
          <a:solidFill>
            <a:schemeClr val="accent6">
              <a:lumMod val="75000"/>
            </a:schemeClr>
          </a:solidFill>
        </xdr:grpSpPr>
        <xdr:pic>
          <xdr:nvPicPr>
            <xdr:cNvPr id="26" name="グラフィック 9" descr="線矢印: 単色で塗りつぶされ直線">
              <a:extLst>
                <a:ext uri="{FF2B5EF4-FFF2-40B4-BE49-F238E27FC236}">
                  <a16:creationId xmlns:a16="http://schemas.microsoft.com/office/drawing/2014/main" id="{5D051FA2-0E86-0615-0CC3-15BB38C93D5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rot="5400000">
              <a:off x="7527235" y="7085431"/>
              <a:ext cx="914399" cy="914399"/>
            </a:xfrm>
            <a:prstGeom prst="rect">
              <a:avLst/>
            </a:prstGeom>
          </xdr:spPr>
        </xdr:pic>
        <xdr:pic>
          <xdr:nvPicPr>
            <xdr:cNvPr id="27" name="グラフィック 10" descr="線矢印: 単色で塗りつぶされ直線">
              <a:extLst>
                <a:ext uri="{FF2B5EF4-FFF2-40B4-BE49-F238E27FC236}">
                  <a16:creationId xmlns:a16="http://schemas.microsoft.com/office/drawing/2014/main" id="{16BC71AA-9A54-56CA-4704-F16A5748843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rot="16200000">
              <a:off x="7527231" y="7441034"/>
              <a:ext cx="914399" cy="914391"/>
            </a:xfrm>
            <a:prstGeom prst="rect">
              <a:avLst/>
            </a:prstGeom>
          </xdr:spPr>
        </xdr:pic>
      </xdr:grpSp>
      <xdr:grpSp>
        <xdr:nvGrpSpPr>
          <xdr:cNvPr id="23" name="グループ 12">
            <a:extLst>
              <a:ext uri="{FF2B5EF4-FFF2-40B4-BE49-F238E27FC236}">
                <a16:creationId xmlns:a16="http://schemas.microsoft.com/office/drawing/2014/main" id="{0D993CF1-C7E8-2FE6-D4B9-6C391A5DAB20}"/>
              </a:ext>
            </a:extLst>
          </xdr:cNvPr>
          <xdr:cNvGrpSpPr/>
        </xdr:nvGrpSpPr>
        <xdr:grpSpPr>
          <a:xfrm>
            <a:off x="16174867" y="6891473"/>
            <a:ext cx="304809" cy="423331"/>
            <a:chOff x="7783019" y="7085437"/>
            <a:chExt cx="914429" cy="1269994"/>
          </a:xfrm>
          <a:solidFill>
            <a:schemeClr val="accent6">
              <a:lumMod val="75000"/>
            </a:schemeClr>
          </a:solidFill>
        </xdr:grpSpPr>
        <xdr:pic>
          <xdr:nvPicPr>
            <xdr:cNvPr id="24" name="グラフィック 13" descr="線矢印: 単色で塗りつぶされ直線">
              <a:extLst>
                <a:ext uri="{FF2B5EF4-FFF2-40B4-BE49-F238E27FC236}">
                  <a16:creationId xmlns:a16="http://schemas.microsoft.com/office/drawing/2014/main" id="{8ED2E4C6-5804-24F1-4CF3-D005F50C907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rot="5400000">
              <a:off x="7783014" y="7085442"/>
              <a:ext cx="914407" cy="914397"/>
            </a:xfrm>
            <a:prstGeom prst="rect">
              <a:avLst/>
            </a:prstGeom>
          </xdr:spPr>
        </xdr:pic>
        <xdr:pic>
          <xdr:nvPicPr>
            <xdr:cNvPr id="25" name="グラフィック 14" descr="線矢印: 単色で塗りつぶされ直線">
              <a:extLst>
                <a:ext uri="{FF2B5EF4-FFF2-40B4-BE49-F238E27FC236}">
                  <a16:creationId xmlns:a16="http://schemas.microsoft.com/office/drawing/2014/main" id="{FB12C5D6-419B-B880-BA9A-0C64C94A21A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rot="16200000">
              <a:off x="7783055" y="7441038"/>
              <a:ext cx="914399" cy="914387"/>
            </a:xfrm>
            <a:prstGeom prst="rect">
              <a:avLst/>
            </a:prstGeom>
          </xdr:spPr>
        </xdr:pic>
      </xdr:grp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1011748</xdr:colOff>
      <xdr:row>3</xdr:row>
      <xdr:rowOff>377216</xdr:rowOff>
    </xdr:from>
    <xdr:to>
      <xdr:col>3</xdr:col>
      <xdr:colOff>2924175</xdr:colOff>
      <xdr:row>3</xdr:row>
      <xdr:rowOff>1883137</xdr:rowOff>
    </xdr:to>
    <xdr:pic>
      <xdr:nvPicPr>
        <xdr:cNvPr id="6" name="画像 5" descr="入力メッセージの例を示すスクリーンショット">
          <a:extLst>
            <a:ext uri="{FF2B5EF4-FFF2-40B4-BE49-F238E27FC236}">
              <a16:creationId xmlns:a16="http://schemas.microsoft.com/office/drawing/2014/main" id="{112B7873-DF61-4EFB-8CDF-4A41DAC6386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5793298" y="3110891"/>
          <a:ext cx="1912427" cy="1505921"/>
        </a:xfrm>
        <a:prstGeom prst="rect">
          <a:avLst/>
        </a:prstGeom>
        <a:ln>
          <a:noFill/>
        </a:ln>
        <a:effectLst>
          <a:outerShdw blurRad="292100" dist="139700" dir="2700000" algn="tl" rotWithShape="0">
            <a:srgbClr val="333333">
              <a:alpha val="65000"/>
            </a:srgbClr>
          </a:outerShdw>
        </a:effectLst>
      </xdr:spPr>
    </xdr:pic>
    <xdr:clientData/>
  </xdr:twoCellAnchor>
  <xdr:twoCellAnchor>
    <xdr:from>
      <xdr:col>2</xdr:col>
      <xdr:colOff>1036132</xdr:colOff>
      <xdr:row>3</xdr:row>
      <xdr:rowOff>337223</xdr:rowOff>
    </xdr:from>
    <xdr:to>
      <xdr:col>2</xdr:col>
      <xdr:colOff>2905126</xdr:colOff>
      <xdr:row>3</xdr:row>
      <xdr:rowOff>1795730</xdr:rowOff>
    </xdr:to>
    <xdr:grpSp>
      <xdr:nvGrpSpPr>
        <xdr:cNvPr id="10" name="グループ 9" descr="アイコン セットを示すスクリーンショット">
          <a:extLst>
            <a:ext uri="{FF2B5EF4-FFF2-40B4-BE49-F238E27FC236}">
              <a16:creationId xmlns:a16="http://schemas.microsoft.com/office/drawing/2014/main" id="{445FD149-2DBF-F59B-25EB-9A0864CA5036}"/>
            </a:ext>
          </a:extLst>
        </xdr:cNvPr>
        <xdr:cNvGrpSpPr/>
      </xdr:nvGrpSpPr>
      <xdr:grpSpPr>
        <a:xfrm>
          <a:off x="2188657" y="3070898"/>
          <a:ext cx="1868994" cy="1458507"/>
          <a:chOff x="14473547" y="4562500"/>
          <a:chExt cx="1902239" cy="1451018"/>
        </a:xfrm>
      </xdr:grpSpPr>
      <xdr:pic>
        <xdr:nvPicPr>
          <xdr:cNvPr id="9" name="画像 8">
            <a:extLst>
              <a:ext uri="{FF2B5EF4-FFF2-40B4-BE49-F238E27FC236}">
                <a16:creationId xmlns:a16="http://schemas.microsoft.com/office/drawing/2014/main" id="{9F9E109B-D940-36B6-2000-CFE3A6504C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14473547" y="4562500"/>
            <a:ext cx="1902230" cy="1032259"/>
          </a:xfrm>
          <a:prstGeom prst="rect">
            <a:avLst/>
          </a:prstGeom>
          <a:ln>
            <a:noFill/>
          </a:ln>
          <a:effectLst>
            <a:outerShdw blurRad="292100" dist="139700" dir="2700000" algn="tl" rotWithShape="0">
              <a:srgbClr val="333333">
                <a:alpha val="65000"/>
              </a:srgbClr>
            </a:outerShdw>
          </a:effectLst>
        </xdr:spPr>
      </xdr:pic>
      <xdr:pic>
        <xdr:nvPicPr>
          <xdr:cNvPr id="7" name="画像 6">
            <a:extLst>
              <a:ext uri="{FF2B5EF4-FFF2-40B4-BE49-F238E27FC236}">
                <a16:creationId xmlns:a16="http://schemas.microsoft.com/office/drawing/2014/main" id="{177C9FA8-840A-D750-0B2E-1741356EEBB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xdr:blipFill>
        <xdr:spPr>
          <a:xfrm>
            <a:off x="14485834" y="4988640"/>
            <a:ext cx="1889952" cy="1024878"/>
          </a:xfrm>
          <a:prstGeom prst="rect">
            <a:avLst/>
          </a:prstGeom>
          <a:ln>
            <a:noFill/>
          </a:ln>
          <a:effectLst>
            <a:outerShdw blurRad="292100" dist="139700" dir="2700000" algn="tl" rotWithShape="0">
              <a:srgbClr val="333333">
                <a:alpha val="65000"/>
              </a:srgbClr>
            </a:outerShdw>
          </a:effectLst>
        </xdr:spPr>
      </xdr:pic>
    </xdr:grp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1298575</xdr:colOff>
      <xdr:row>2</xdr:row>
      <xdr:rowOff>444500</xdr:rowOff>
    </xdr:from>
    <xdr:to>
      <xdr:col>1</xdr:col>
      <xdr:colOff>6429375</xdr:colOff>
      <xdr:row>2</xdr:row>
      <xdr:rowOff>1117600</xdr:rowOff>
    </xdr:to>
    <xdr:sp macro="" textlink="">
      <xdr:nvSpPr>
        <xdr:cNvPr id="3" name="角丸四角形 2" descr="外部リンクの移動ボタン">
          <a:hlinkClick xmlns:r="http://schemas.openxmlformats.org/officeDocument/2006/relationships" r:id="rId1"/>
          <a:extLst>
            <a:ext uri="{FF2B5EF4-FFF2-40B4-BE49-F238E27FC236}">
              <a16:creationId xmlns:a16="http://schemas.microsoft.com/office/drawing/2014/main" id="{3CD0BC58-FE72-A93B-2838-260DB0977929}"/>
            </a:ext>
          </a:extLst>
        </xdr:cNvPr>
        <xdr:cNvSpPr/>
      </xdr:nvSpPr>
      <xdr:spPr>
        <a:xfrm>
          <a:off x="1793875" y="2092325"/>
          <a:ext cx="5130800" cy="673100"/>
        </a:xfrm>
        <a:prstGeom prst="roundRect">
          <a:avLst>
            <a:gd name="adj" fmla="val 50000"/>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0"/>
          <a:r>
            <a:rPr lang="ja" sz="1600" b="0" i="0">
              <a:solidFill>
                <a:schemeClr val="tx1"/>
              </a:solidFill>
              <a:latin typeface="Meiryo UI" panose="020B0604030504040204" pitchFamily="50" charset="-128"/>
              <a:ea typeface="Meiryo UI" panose="020B0604030504040204" pitchFamily="50" charset="-128"/>
            </a:rPr>
            <a:t>Excel スプレッドシートを</a:t>
          </a:r>
          <a:r>
            <a:rPr lang="ja" sz="1600" b="0" i="0" baseline="0">
              <a:solidFill>
                <a:schemeClr val="tx1"/>
              </a:solidFill>
              <a:latin typeface="Meiryo UI" panose="020B0604030504040204" pitchFamily="50" charset="-128"/>
              <a:ea typeface="Meiryo UI" panose="020B0604030504040204" pitchFamily="50" charset="-128"/>
            </a:rPr>
            <a:t> アクセシビリティ対応にする方法</a:t>
          </a:r>
          <a:endParaRPr lang="en-US" sz="1600" b="0" i="0">
            <a:solidFill>
              <a:schemeClr val="tx1"/>
            </a:solidFill>
            <a:latin typeface="Meiryo UI" panose="020B0604030504040204" pitchFamily="50" charset="-128"/>
            <a:ea typeface="Meiryo UI" panose="020B0604030504040204" pitchFamily="50" charset="-128"/>
          </a:endParaRP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在庫リスト" displayName="在庫リスト" ref="B5:K16" headerRowDxfId="43" dataDxfId="42" totalsRowDxfId="41">
  <autoFilter ref="B5:K16" xr:uid="{00000000-0009-0000-0100-00000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sortState xmlns:xlrd2="http://schemas.microsoft.com/office/spreadsheetml/2017/richdata2" ref="B4:F13">
    <sortCondition ref="C3:C13"/>
  </sortState>
  <tableColumns count="10">
    <tableColumn id="1" xr3:uid="{00000000-0010-0000-0000-000001000000}" name="SKU" totalsRowLabel="合計" dataDxfId="40" dataCellStyle="表の詳細 (左揃え)"/>
    <tableColumn id="2" xr3:uid="{00000000-0010-0000-0000-000002000000}" name="説明" dataDxfId="39" dataCellStyle="表の詳細 (左揃え)"/>
    <tableColumn id="3" xr3:uid="{00000000-0010-0000-0000-000003000000}" name="ビン番号" dataDxfId="38" dataCellStyle="表の詳細 (左揃え)"/>
    <tableColumn id="4" xr3:uid="{00000000-0010-0000-0000-000004000000}" name="場所" dataDxfId="37" dataCellStyle="表の詳細 (左揃え)">
      <calculatedColumnFormula>IFERROR(VLOOKUP(在庫リスト[[#This Row],[ビン番号]],#REF!,3,FALSE),"")</calculatedColumnFormula>
    </tableColumn>
    <tableColumn id="5" xr3:uid="{00000000-0010-0000-0000-000005000000}" name="単位" dataDxfId="36" dataCellStyle="表の詳細 (左揃え)"/>
    <tableColumn id="6" xr3:uid="{00000000-0010-0000-0000-000006000000}" name="数量" dataDxfId="35" dataCellStyle="表の詳細 (中央揃え)"/>
    <tableColumn id="8" xr3:uid="{00000000-0010-0000-0000-000008000000}" name="再発注の数量" dataDxfId="34" dataCellStyle="表の詳細 (中央揃え)"/>
    <tableColumn id="7" xr3:uid="{00000000-0010-0000-0000-000007000000}" name="コスト" dataDxfId="33" dataCellStyle="表の詳細 (右揃え)"/>
    <tableColumn id="10" xr3:uid="{00000000-0010-0000-0000-00000A000000}" name="在庫の評価額" dataDxfId="32" dataCellStyle="表の詳細 (右揃え)">
      <calculatedColumnFormula>在庫リスト[[#This Row],[数量]]*在庫リスト[[#This Row],[コスト]]</calculatedColumnFormula>
    </tableColumn>
    <tableColumn id="9" xr3:uid="{00000000-0010-0000-0000-000009000000}" name="再発注" dataDxfId="31" dataCellStyle="フラグの列">
      <calculatedColumnFormula>IFERROR(IF(在庫リスト[[#This Row],[数量]]&lt;=在庫リスト[[#This Row],[再発注の数量]],1,0),0)</calculatedColumnFormula>
    </tableColumn>
  </tableColumns>
  <tableStyleInfo name="在庫表" showFirstColumn="0" showLastColumn="0" showRowStripes="1" showColumnStripes="0"/>
  <extLst>
    <ext xmlns:x14="http://schemas.microsoft.com/office/spreadsheetml/2009/9/main" uri="{504A1905-F514-4f6f-8877-14C23A59335A}">
      <x14:table altTextSummary="在庫品目のリストと詳細: SKU、説明、ビン番号、場所、単位、数量、再注文数量、コスト、在庫値、再注文の状態"/>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F7F75EE-B5FE-4987-AEDB-FA09FDD96B3B}" name="在庫ピッキング_リスト6" displayName="在庫ピッキング_リスト6" ref="C24:J29" headerRowDxfId="30" dataDxfId="29" totalsRowDxfId="28">
  <autoFilter ref="C24:J29" xr:uid="{8F7F75EE-B5FE-4987-AEDB-FA09FDD96B3B}"/>
  <sortState xmlns:xlrd2="http://schemas.microsoft.com/office/spreadsheetml/2017/richdata2" ref="C25:J29">
    <sortCondition ref="J3:J8"/>
  </sortState>
  <tableColumns count="8">
    <tableColumn id="9" xr3:uid="{2460EB3E-4D7B-4974-B8CF-DC7BCBAC499F}" name="注文番号" totalsRowLabel="集計" dataDxfId="27" totalsRowDxfId="26" dataCellStyle="表の詳細 (左揃え)"/>
    <tableColumn id="1" xr3:uid="{01B82D2E-C63F-4065-BB72-6034B978917F}" name="SKU" dataDxfId="25" totalsRowDxfId="24" dataCellStyle="表の詳細 (左揃え)"/>
    <tableColumn id="6" xr3:uid="{2684E436-35DE-40C2-89C8-432791E6B9D9}" name="ピッキングの数量" dataDxfId="23" totalsRowDxfId="22" dataCellStyle="表の詳細 (中央揃え)"/>
    <tableColumn id="7" xr3:uid="{D386E408-B5A3-4B7C-90E5-97380CBE91EE}" name="在庫数" dataDxfId="21" totalsRowDxfId="20" dataCellStyle="表の詳細 (中央揃え)">
      <calculatedColumnFormula>IFERROR(VLOOKUP(在庫ピッキング_リスト6[[#This Row],[SKU]],在庫リスト[],6,FALSE),"")</calculatedColumnFormula>
    </tableColumn>
    <tableColumn id="2" xr3:uid="{8D061A0C-17D6-4BAF-96C0-7EAF9470E3D4}" name="品目の説明" dataDxfId="19" totalsRowDxfId="18" dataCellStyle="表の詳細 (左揃え)">
      <calculatedColumnFormula>IFERROR(VLOOKUP(在庫ピッキング_リスト6[[#This Row],[SKU]],在庫リスト[],2,FALSE),"")</calculatedColumnFormula>
    </tableColumn>
    <tableColumn id="8" xr3:uid="{1EFA1763-0501-4E51-BC6F-060D14C85AA5}" name="単位" dataDxfId="17" totalsRowDxfId="16" dataCellStyle="表の詳細 (左揃え)">
      <calculatedColumnFormula>IFERROR(VLOOKUP(在庫ピッキング_リスト6[[#This Row],[SKU]],在庫リスト[],5,FALSE),"")</calculatedColumnFormula>
    </tableColumn>
    <tableColumn id="3" xr3:uid="{BB4DF2BE-94B4-4695-BEAE-FB7DFD721504}" name="ビン番号" dataDxfId="15" totalsRowDxfId="14" dataCellStyle="表の詳細 (左揃え)">
      <calculatedColumnFormula>IFERROR(VLOOKUP(在庫ピッキング_リスト6[[#This Row],[SKU]],在庫リスト[],3,FALSE),"")</calculatedColumnFormula>
    </tableColumn>
    <tableColumn id="4" xr3:uid="{D4355403-8FD3-43AD-A781-D7015CE8D79A}" name="場所" totalsRowFunction="count" dataDxfId="13" totalsRowDxfId="12" dataCellStyle="表の詳細 (左揃え)">
      <calculatedColumnFormula>IFERROR(VLOOKUP(在庫ピッキング_リスト6[[#This Row],[SKU]],在庫リスト[],4,FALSE),"")</calculatedColumnFormula>
    </tableColumn>
  </tableColumns>
  <tableStyleInfo name="在庫表" showFirstColumn="0" showLastColumn="0" showRowStripes="1" showColumnStripes="0"/>
  <extLst>
    <ext xmlns:x14="http://schemas.microsoft.com/office/spreadsheetml/2009/9/main" uri="{504A1905-F514-4f6f-8877-14C23A59335A}">
      <x14:table altTextSummary="受注処理の在庫と品目の詳細: 注文番号、SKU、ピッキング数量、使用可能な数量、品目の説明、単位、ビン番号および場所。セル B2 のリストをクリアします"/>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1EFC1B3-B272-4B5C-9396-449F51E778DA}" name="BinLookup8" displayName="BinLookup8" ref="C35:H42" headerRowDxfId="11" dataDxfId="10" totalsRowDxfId="9">
  <autoFilter ref="C35:H42" xr:uid="{01EFC1B3-B272-4B5C-9396-449F51E778DA}"/>
  <tableColumns count="6">
    <tableColumn id="1" xr3:uid="{12602B5B-E7E3-4964-A34B-141B9D914ADF}" name="ビン番号" totalsRowLabel="集計" dataDxfId="8" dataCellStyle="表の詳細 (左揃え)"/>
    <tableColumn id="2" xr3:uid="{E34E8601-9E6F-4278-BC5B-BD18EE44283B}" name="説明" dataDxfId="7" dataCellStyle="表の詳細 (左揃え)"/>
    <tableColumn id="6" xr3:uid="{D109F540-CC1D-4559-84FB-6B38F0E02450}" name="場所" dataDxfId="6" dataCellStyle="表の詳細 (左揃え)"/>
    <tableColumn id="3" xr3:uid="{5FA8A171-9734-4A09-A239-758DA87E7319}" name="幅" dataDxfId="5" dataCellStyle="表の詳細 (中央揃え)"/>
    <tableColumn id="4" xr3:uid="{B6FF72CA-99C6-48A1-961F-4CE0A2A0404E}" name="高さ" dataDxfId="4" dataCellStyle="表の詳細 (中央揃え)"/>
    <tableColumn id="5" xr3:uid="{B56A9DED-FF55-46F4-82E8-269B6FD37C50}" name="長さ" totalsRowFunction="sum" dataDxfId="3" totalsRowDxfId="2" dataCellStyle="表の詳細 (中央揃え)"/>
  </tableColumns>
  <tableStyleInfo name="在庫表" showFirstColumn="0" showLastColumn="0" showRowStripes="1" showColumnStripes="0"/>
  <extLst>
    <ext xmlns:x14="http://schemas.microsoft.com/office/spreadsheetml/2009/9/main" uri="{504A1905-F514-4f6f-8877-14C23A59335A}">
      <x14:table altTextSummary="ビン番号、説明、場所、幅、高さ、長さなど、在庫のビンの詳細"/>
    </ext>
  </extLst>
</table>
</file>

<file path=xl/theme/theme1.xml><?xml version="1.0" encoding="utf-8"?>
<a:theme xmlns:a="http://schemas.openxmlformats.org/drawingml/2006/main" name="Office Theme">
  <a:themeElements>
    <a:clrScheme name="TM16400470 3">
      <a:dk1>
        <a:srgbClr val="000000"/>
      </a:dk1>
      <a:lt1>
        <a:srgbClr val="FFFFFF"/>
      </a:lt1>
      <a:dk2>
        <a:srgbClr val="D9EC92"/>
      </a:dk2>
      <a:lt2>
        <a:srgbClr val="E7E6E6"/>
      </a:lt2>
      <a:accent1>
        <a:srgbClr val="6CAF67"/>
      </a:accent1>
      <a:accent2>
        <a:srgbClr val="E1BF49"/>
      </a:accent2>
      <a:accent3>
        <a:srgbClr val="A2AF89"/>
      </a:accent3>
      <a:accent4>
        <a:srgbClr val="148AAC"/>
      </a:accent4>
      <a:accent5>
        <a:srgbClr val="1E6090"/>
      </a:accent5>
      <a:accent6>
        <a:srgbClr val="21577A"/>
      </a:accent6>
      <a:hlink>
        <a:srgbClr val="0563C1"/>
      </a:hlink>
      <a:folHlink>
        <a:srgbClr val="954F72"/>
      </a:folHlink>
    </a:clrScheme>
    <a:fontScheme name="Custom 66">
      <a:majorFont>
        <a:latin typeface="Georgia Pro"/>
        <a:ea typeface=""/>
        <a:cs typeface=""/>
      </a:majorFont>
      <a:minorFont>
        <a:latin typeface="Gill Sans Nova"/>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table" Target="../tables/table3.xml"/><Relationship Id="rId4" Type="http://schemas.openxmlformats.org/officeDocument/2006/relationships/table" Target="../tables/table2.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tInventoryList">
    <tabColor theme="4" tint="0.79998168889431442"/>
    <pageSetUpPr autoPageBreaks="0" fitToPage="1"/>
  </sheetPr>
  <dimension ref="A1:L99"/>
  <sheetViews>
    <sheetView showGridLines="0" zoomScaleNormal="100" workbookViewId="0">
      <selection activeCell="B35" sqref="B35"/>
    </sheetView>
  </sheetViews>
  <sheetFormatPr defaultColWidth="8.77734375" defaultRowHeight="30" customHeight="1" x14ac:dyDescent="0.25"/>
  <cols>
    <col min="1" max="1" width="5.77734375" style="1" customWidth="1"/>
    <col min="2" max="2" width="21.6640625" style="1" customWidth="1"/>
    <col min="3" max="4" width="16" style="1" customWidth="1"/>
    <col min="5" max="5" width="22.6640625" style="1" customWidth="1"/>
    <col min="6" max="6" width="20.21875" style="1" customWidth="1"/>
    <col min="7" max="7" width="9.5546875" style="1" customWidth="1"/>
    <col min="8" max="8" width="18.88671875" style="1" customWidth="1"/>
    <col min="9" max="9" width="15.109375" style="1" customWidth="1"/>
    <col min="10" max="10" width="23.109375" style="1" customWidth="1"/>
    <col min="11" max="11" width="13.33203125" style="1" customWidth="1"/>
    <col min="12" max="12" width="5.77734375" style="1" customWidth="1"/>
    <col min="13" max="16384" width="8.77734375" style="2"/>
  </cols>
  <sheetData>
    <row r="1" spans="1:12" ht="30" customHeight="1" x14ac:dyDescent="0.25">
      <c r="L1" s="22" t="s">
        <v>0</v>
      </c>
    </row>
    <row r="2" spans="1:12" s="18" customFormat="1" ht="80.099999999999994" customHeight="1" thickBot="1" x14ac:dyDescent="0.3">
      <c r="A2" s="17"/>
      <c r="B2" s="33" t="s">
        <v>1</v>
      </c>
      <c r="C2" s="33"/>
      <c r="D2" s="33"/>
      <c r="E2" s="33"/>
      <c r="F2" s="33"/>
      <c r="G2" s="33"/>
      <c r="H2" s="33"/>
      <c r="I2" s="33"/>
      <c r="J2" s="33"/>
      <c r="K2" s="33"/>
      <c r="L2" s="17"/>
    </row>
    <row r="3" spans="1:12" ht="32.1" customHeight="1" thickTop="1" x14ac:dyDescent="0.25">
      <c r="B3" s="23" t="s">
        <v>2</v>
      </c>
      <c r="C3" s="23" t="s">
        <v>3</v>
      </c>
      <c r="D3" s="23" t="s">
        <v>4</v>
      </c>
      <c r="E3" s="24"/>
      <c r="F3" s="24"/>
    </row>
    <row r="4" spans="1:12" ht="32.1" customHeight="1" x14ac:dyDescent="0.25">
      <c r="B4" s="28">
        <f>SUM(在庫リスト[在庫の評価額])</f>
        <v>4649</v>
      </c>
      <c r="C4" s="25">
        <f>COUNTA(在庫リスト[説明])</f>
        <v>11</v>
      </c>
      <c r="D4" s="25">
        <f>SUMPRODUCT((1/COUNTIF(在庫リスト[ビン番号],在庫リスト[ビン番号]&amp;"")))</f>
        <v>6</v>
      </c>
      <c r="E4" s="24"/>
      <c r="F4" s="24"/>
    </row>
    <row r="5" spans="1:12" ht="32.1" customHeight="1" x14ac:dyDescent="0.25">
      <c r="B5" s="29" t="s">
        <v>5</v>
      </c>
      <c r="C5" s="29" t="s">
        <v>6</v>
      </c>
      <c r="D5" s="29" t="s">
        <v>7</v>
      </c>
      <c r="E5" s="29" t="s">
        <v>8</v>
      </c>
      <c r="F5" s="29" t="s">
        <v>9</v>
      </c>
      <c r="G5" s="29" t="s">
        <v>10</v>
      </c>
      <c r="H5" s="29" t="s">
        <v>11</v>
      </c>
      <c r="I5" s="29" t="s">
        <v>12</v>
      </c>
      <c r="J5" s="29" t="s">
        <v>13</v>
      </c>
      <c r="K5" s="29" t="s">
        <v>14</v>
      </c>
    </row>
    <row r="6" spans="1:12" ht="32.1" customHeight="1" x14ac:dyDescent="0.25">
      <c r="B6" s="15" t="s">
        <v>15</v>
      </c>
      <c r="C6" s="15" t="s">
        <v>16</v>
      </c>
      <c r="D6" s="15" t="s">
        <v>17</v>
      </c>
      <c r="E6" s="15" t="str">
        <f>IFERROR(VLOOKUP(在庫リスト[[#This Row],[ビン番号]],#REF!,3,FALSE),"")</f>
        <v/>
      </c>
      <c r="F6" s="15" t="s">
        <v>18</v>
      </c>
      <c r="G6" s="16">
        <v>20</v>
      </c>
      <c r="H6" s="16">
        <v>10</v>
      </c>
      <c r="I6" s="26">
        <v>30</v>
      </c>
      <c r="J6" s="26">
        <f>在庫リスト[[#This Row],[数量]]*在庫リスト[[#This Row],[コスト]]</f>
        <v>600</v>
      </c>
      <c r="K6" s="27">
        <f>IFERROR(IF(在庫リスト[[#This Row],[数量]]&lt;=在庫リスト[[#This Row],[再発注の数量]],1,0),0)</f>
        <v>0</v>
      </c>
    </row>
    <row r="7" spans="1:12" ht="32.1" customHeight="1" x14ac:dyDescent="0.25">
      <c r="B7" s="15" t="s">
        <v>19</v>
      </c>
      <c r="C7" s="15" t="s">
        <v>20</v>
      </c>
      <c r="D7" s="15" t="s">
        <v>17</v>
      </c>
      <c r="E7" s="15" t="str">
        <f>IFERROR(VLOOKUP(在庫リスト[[#This Row],[ビン番号]],#REF!,3,FALSE),"")</f>
        <v/>
      </c>
      <c r="F7" s="15" t="s">
        <v>18</v>
      </c>
      <c r="G7" s="16">
        <v>30</v>
      </c>
      <c r="H7" s="16">
        <v>15</v>
      </c>
      <c r="I7" s="26">
        <v>40</v>
      </c>
      <c r="J7" s="26">
        <f>在庫リスト[[#This Row],[数量]]*在庫リスト[[#This Row],[コスト]]</f>
        <v>1200</v>
      </c>
      <c r="K7" s="27">
        <f>IFERROR(IF(在庫リスト[[#This Row],[数量]]&lt;=在庫リスト[[#This Row],[再発注の数量]],1,0),0)</f>
        <v>0</v>
      </c>
    </row>
    <row r="8" spans="1:12" ht="32.1" customHeight="1" x14ac:dyDescent="0.25">
      <c r="B8" s="15" t="s">
        <v>21</v>
      </c>
      <c r="C8" s="15" t="s">
        <v>22</v>
      </c>
      <c r="D8" s="15" t="s">
        <v>23</v>
      </c>
      <c r="E8" s="15" t="str">
        <f>IFERROR(VLOOKUP(在庫リスト[[#This Row],[ビン番号]],#REF!,3,FALSE),"")</f>
        <v/>
      </c>
      <c r="F8" s="15" t="s">
        <v>18</v>
      </c>
      <c r="G8" s="16">
        <v>10</v>
      </c>
      <c r="H8" s="16">
        <v>5</v>
      </c>
      <c r="I8" s="26">
        <v>5</v>
      </c>
      <c r="J8" s="26">
        <f>在庫リスト[[#This Row],[数量]]*在庫リスト[[#This Row],[コスト]]</f>
        <v>50</v>
      </c>
      <c r="K8" s="27">
        <f>IFERROR(IF(在庫リスト[[#This Row],[数量]]&lt;=在庫リスト[[#This Row],[再発注の数量]],1,0),0)</f>
        <v>0</v>
      </c>
    </row>
    <row r="9" spans="1:12" ht="32.1" customHeight="1" x14ac:dyDescent="0.25">
      <c r="B9" s="15" t="s">
        <v>24</v>
      </c>
      <c r="C9" s="15" t="s">
        <v>25</v>
      </c>
      <c r="D9" s="15" t="s">
        <v>26</v>
      </c>
      <c r="E9" s="15" t="str">
        <f>IFERROR(VLOOKUP(在庫リスト[[#This Row],[ビン番号]],#REF!,3,FALSE),"")</f>
        <v/>
      </c>
      <c r="F9" s="15" t="s">
        <v>27</v>
      </c>
      <c r="G9" s="16">
        <v>40</v>
      </c>
      <c r="H9" s="16">
        <v>10</v>
      </c>
      <c r="I9" s="26">
        <v>15</v>
      </c>
      <c r="J9" s="26">
        <f>在庫リスト[[#This Row],[数量]]*在庫リスト[[#This Row],[コスト]]</f>
        <v>600</v>
      </c>
      <c r="K9" s="27">
        <f>IFERROR(IF(在庫リスト[[#This Row],[数量]]&lt;=在庫リスト[[#This Row],[再発注の数量]],1,0),0)</f>
        <v>0</v>
      </c>
    </row>
    <row r="10" spans="1:12" ht="32.1" customHeight="1" x14ac:dyDescent="0.25">
      <c r="B10" s="15" t="s">
        <v>28</v>
      </c>
      <c r="C10" s="15" t="s">
        <v>29</v>
      </c>
      <c r="D10" s="15" t="s">
        <v>30</v>
      </c>
      <c r="E10" s="15" t="str">
        <f>IFERROR(VLOOKUP(在庫リスト[[#This Row],[ビン番号]],#REF!,3,FALSE),"")</f>
        <v/>
      </c>
      <c r="F10" s="15" t="s">
        <v>18</v>
      </c>
      <c r="G10" s="16">
        <v>12</v>
      </c>
      <c r="H10" s="16">
        <v>10</v>
      </c>
      <c r="I10" s="26">
        <v>26</v>
      </c>
      <c r="J10" s="26">
        <f>在庫リスト[[#This Row],[数量]]*在庫リスト[[#This Row],[コスト]]</f>
        <v>312</v>
      </c>
      <c r="K10" s="27">
        <f>IFERROR(IF(在庫リスト[[#This Row],[数量]]&lt;=在庫リスト[[#This Row],[再発注の数量]],1,0),0)</f>
        <v>0</v>
      </c>
    </row>
    <row r="11" spans="1:12" ht="32.1" customHeight="1" x14ac:dyDescent="0.25">
      <c r="B11" s="15" t="s">
        <v>31</v>
      </c>
      <c r="C11" s="15" t="s">
        <v>32</v>
      </c>
      <c r="D11" s="15" t="s">
        <v>17</v>
      </c>
      <c r="E11" s="15" t="str">
        <f>IFERROR(VLOOKUP(在庫リスト[[#This Row],[ビン番号]],#REF!,3,FALSE),"")</f>
        <v/>
      </c>
      <c r="F11" s="15" t="s">
        <v>18</v>
      </c>
      <c r="G11" s="16">
        <v>7</v>
      </c>
      <c r="H11" s="16">
        <v>10</v>
      </c>
      <c r="I11" s="26">
        <v>50</v>
      </c>
      <c r="J11" s="26">
        <f>在庫リスト[[#This Row],[数量]]*在庫リスト[[#This Row],[コスト]]</f>
        <v>350</v>
      </c>
      <c r="K11" s="27">
        <f>IFERROR(IF(在庫リスト[[#This Row],[数量]]&lt;=在庫リスト[[#This Row],[再発注の数量]],1,0),0)</f>
        <v>1</v>
      </c>
    </row>
    <row r="12" spans="1:12" ht="32.1" customHeight="1" x14ac:dyDescent="0.25">
      <c r="B12" s="15" t="s">
        <v>33</v>
      </c>
      <c r="C12" s="15" t="s">
        <v>34</v>
      </c>
      <c r="D12" s="15" t="s">
        <v>35</v>
      </c>
      <c r="E12" s="15" t="str">
        <f>IFERROR(VLOOKUP(在庫リスト[[#This Row],[ビン番号]],#REF!,3,FALSE),"")</f>
        <v/>
      </c>
      <c r="F12" s="15" t="s">
        <v>18</v>
      </c>
      <c r="G12" s="16">
        <v>10</v>
      </c>
      <c r="H12" s="16">
        <v>5</v>
      </c>
      <c r="I12" s="26">
        <v>10</v>
      </c>
      <c r="J12" s="26">
        <f>在庫リスト[[#This Row],[数量]]*在庫リスト[[#This Row],[コスト]]</f>
        <v>100</v>
      </c>
      <c r="K12" s="27">
        <f>IFERROR(IF(在庫リスト[[#This Row],[数量]]&lt;=在庫リスト[[#This Row],[再発注の数量]],1,0),0)</f>
        <v>0</v>
      </c>
    </row>
    <row r="13" spans="1:12" ht="32.1" customHeight="1" x14ac:dyDescent="0.25">
      <c r="B13" s="15" t="s">
        <v>36</v>
      </c>
      <c r="C13" s="15" t="s">
        <v>37</v>
      </c>
      <c r="D13" s="15" t="s">
        <v>23</v>
      </c>
      <c r="E13" s="15" t="str">
        <f>IFERROR(VLOOKUP(在庫リスト[[#This Row],[ビン番号]],#REF!,3,FALSE),"")</f>
        <v/>
      </c>
      <c r="F13" s="15" t="s">
        <v>18</v>
      </c>
      <c r="G13" s="16">
        <v>19</v>
      </c>
      <c r="H13" s="16">
        <v>10</v>
      </c>
      <c r="I13" s="26">
        <v>3</v>
      </c>
      <c r="J13" s="26">
        <f>在庫リスト[[#This Row],[数量]]*在庫リスト[[#This Row],[コスト]]</f>
        <v>57</v>
      </c>
      <c r="K13" s="27">
        <f>IFERROR(IF(在庫リスト[[#This Row],[数量]]&lt;=在庫リスト[[#This Row],[再発注の数量]],1,0),0)</f>
        <v>0</v>
      </c>
    </row>
    <row r="14" spans="1:12" ht="32.1" customHeight="1" x14ac:dyDescent="0.25">
      <c r="B14" s="15" t="s">
        <v>38</v>
      </c>
      <c r="C14" s="15" t="s">
        <v>39</v>
      </c>
      <c r="D14" s="15" t="s">
        <v>40</v>
      </c>
      <c r="E14" s="15" t="str">
        <f>IFERROR(VLOOKUP(在庫リスト[[#This Row],[ビン番号]],#REF!,3,FALSE),"")</f>
        <v/>
      </c>
      <c r="F14" s="15" t="s">
        <v>41</v>
      </c>
      <c r="G14" s="16">
        <v>20</v>
      </c>
      <c r="H14" s="16">
        <v>30</v>
      </c>
      <c r="I14" s="26">
        <v>14</v>
      </c>
      <c r="J14" s="26">
        <f>在庫リスト[[#This Row],[数量]]*在庫リスト[[#This Row],[コスト]]</f>
        <v>280</v>
      </c>
      <c r="K14" s="27">
        <f>IFERROR(IF(在庫リスト[[#This Row],[数量]]&lt;=在庫リスト[[#This Row],[再発注の数量]],1,0),0)</f>
        <v>1</v>
      </c>
    </row>
    <row r="15" spans="1:12" ht="32.1" customHeight="1" x14ac:dyDescent="0.25">
      <c r="B15" s="15" t="s">
        <v>42</v>
      </c>
      <c r="C15" s="15" t="s">
        <v>43</v>
      </c>
      <c r="D15" s="15" t="s">
        <v>35</v>
      </c>
      <c r="E15" s="15" t="str">
        <f>IFERROR(VLOOKUP(在庫リスト[[#This Row],[ビン番号]],#REF!,3,FALSE),"")</f>
        <v/>
      </c>
      <c r="F15" s="15" t="s">
        <v>18</v>
      </c>
      <c r="G15" s="16">
        <v>15</v>
      </c>
      <c r="H15" s="16">
        <v>8</v>
      </c>
      <c r="I15" s="26">
        <v>60</v>
      </c>
      <c r="J15" s="26">
        <f>在庫リスト[[#This Row],[数量]]*在庫リスト[[#This Row],[コスト]]</f>
        <v>900</v>
      </c>
      <c r="K15" s="27">
        <f>IFERROR(IF(在庫リスト[[#This Row],[数量]]&lt;=在庫リスト[[#This Row],[再発注の数量]],1,0),0)</f>
        <v>0</v>
      </c>
    </row>
    <row r="16" spans="1:12" ht="32.1" customHeight="1" x14ac:dyDescent="0.25">
      <c r="B16" s="15" t="s">
        <v>44</v>
      </c>
      <c r="C16" s="15" t="s">
        <v>45</v>
      </c>
      <c r="D16" s="15" t="s">
        <v>35</v>
      </c>
      <c r="E16" s="15" t="str">
        <f>IFERROR(VLOOKUP(在庫リスト[[#This Row],[ビン番号]],#REF!,3,FALSE),"")</f>
        <v/>
      </c>
      <c r="F16" s="15" t="s">
        <v>18</v>
      </c>
      <c r="G16" s="16">
        <v>25</v>
      </c>
      <c r="H16" s="16">
        <v>15</v>
      </c>
      <c r="I16" s="26">
        <v>8</v>
      </c>
      <c r="J16" s="26">
        <f>在庫リスト[[#This Row],[数量]]*在庫リスト[[#This Row],[コスト]]</f>
        <v>200</v>
      </c>
      <c r="K16" s="27">
        <f>IFERROR(IF(在庫リスト[[#This Row],[数量]]&lt;=在庫リスト[[#This Row],[再発注の数量]],1,0),0)</f>
        <v>0</v>
      </c>
    </row>
    <row r="17" spans="2:11" ht="32.1" customHeight="1" x14ac:dyDescent="0.25"/>
    <row r="18" spans="2:11" ht="32.1" customHeight="1" x14ac:dyDescent="0.25"/>
    <row r="19" spans="2:11" ht="32.1" customHeight="1" x14ac:dyDescent="0.25"/>
    <row r="20" spans="2:11" ht="32.1" customHeight="1" x14ac:dyDescent="0.25"/>
    <row r="21" spans="2:11" ht="46.5" customHeight="1" thickBot="1" x14ac:dyDescent="0.3">
      <c r="B21" s="17"/>
      <c r="C21" s="33" t="s">
        <v>46</v>
      </c>
      <c r="D21" s="33"/>
      <c r="E21" s="33"/>
      <c r="F21" s="33"/>
      <c r="G21" s="33"/>
      <c r="H21" s="33"/>
      <c r="I21" s="33"/>
      <c r="J21" s="33"/>
      <c r="K21" s="17"/>
    </row>
    <row r="22" spans="2:11" ht="32.1" customHeight="1" thickTop="1" x14ac:dyDescent="0.25">
      <c r="C22" s="32"/>
      <c r="D22" s="32"/>
      <c r="E22" s="32"/>
      <c r="F22" s="32"/>
      <c r="G22" s="32"/>
      <c r="H22" s="32"/>
      <c r="I22" s="13"/>
      <c r="J22" s="32"/>
    </row>
    <row r="23" spans="2:11" ht="32.1" customHeight="1" x14ac:dyDescent="0.25">
      <c r="C23" s="19"/>
      <c r="D23" s="20"/>
      <c r="E23" s="32"/>
      <c r="F23" s="32"/>
      <c r="G23" s="32"/>
      <c r="H23" s="32"/>
      <c r="I23" s="32"/>
      <c r="J23" s="32"/>
    </row>
    <row r="24" spans="2:11" ht="32.1" customHeight="1" x14ac:dyDescent="0.25">
      <c r="C24" s="29" t="s">
        <v>47</v>
      </c>
      <c r="D24" s="29" t="s">
        <v>5</v>
      </c>
      <c r="E24" s="29" t="s">
        <v>48</v>
      </c>
      <c r="F24" s="29" t="s">
        <v>49</v>
      </c>
      <c r="G24" s="29" t="s">
        <v>50</v>
      </c>
      <c r="H24" s="29" t="s">
        <v>9</v>
      </c>
      <c r="I24" s="29" t="s">
        <v>7</v>
      </c>
      <c r="J24" s="29" t="s">
        <v>8</v>
      </c>
    </row>
    <row r="25" spans="2:11" ht="32.1" customHeight="1" x14ac:dyDescent="0.25">
      <c r="C25" s="15" t="s">
        <v>51</v>
      </c>
      <c r="D25" s="15" t="s">
        <v>15</v>
      </c>
      <c r="E25" s="21">
        <v>3</v>
      </c>
      <c r="F25" s="21">
        <f>IFERROR(VLOOKUP(在庫ピッキング_リスト6[[#This Row],[SKU]],在庫リスト[],6,FALSE),"")</f>
        <v>20</v>
      </c>
      <c r="G25" s="15" t="str">
        <f>IFERROR(VLOOKUP(在庫ピッキング_リスト6[[#This Row],[SKU]],在庫リスト[],2,FALSE),"")</f>
        <v>品目 1</v>
      </c>
      <c r="H25" s="15" t="str">
        <f>IFERROR(VLOOKUP(在庫ピッキング_リスト6[[#This Row],[SKU]],在庫リスト[],5,FALSE),"")</f>
        <v>個</v>
      </c>
      <c r="I25" s="15" t="str">
        <f>IFERROR(VLOOKUP(在庫ピッキング_リスト6[[#This Row],[SKU]],在庫リスト[],3,FALSE),"")</f>
        <v>T345</v>
      </c>
      <c r="J25" s="15" t="str">
        <f>IFERROR(VLOOKUP(在庫ピッキング_リスト6[[#This Row],[SKU]],在庫リスト[],4,FALSE),"")</f>
        <v/>
      </c>
    </row>
    <row r="26" spans="2:11" ht="32.1" customHeight="1" x14ac:dyDescent="0.25">
      <c r="C26" s="15" t="s">
        <v>51</v>
      </c>
      <c r="D26" s="15" t="s">
        <v>24</v>
      </c>
      <c r="E26" s="21">
        <v>1</v>
      </c>
      <c r="F26" s="21">
        <f>IFERROR(VLOOKUP(在庫ピッキング_リスト6[[#This Row],[SKU]],在庫リスト[],6,FALSE),"")</f>
        <v>40</v>
      </c>
      <c r="G26" s="15" t="str">
        <f>IFERROR(VLOOKUP(在庫ピッキング_リスト6[[#This Row],[SKU]],在庫リスト[],2,FALSE),"")</f>
        <v>品目 4</v>
      </c>
      <c r="H26" s="15" t="str">
        <f>IFERROR(VLOOKUP(在庫ピッキング_リスト6[[#This Row],[SKU]],在庫リスト[],5,FALSE),"")</f>
        <v>ボックス (10 個)</v>
      </c>
      <c r="I26" s="15" t="str">
        <f>IFERROR(VLOOKUP(在庫ピッキング_リスト6[[#This Row],[SKU]],在庫リスト[],3,FALSE),"")</f>
        <v>T9876</v>
      </c>
      <c r="J26" s="15" t="str">
        <f>IFERROR(VLOOKUP(在庫ピッキング_リスト6[[#This Row],[SKU]],在庫リスト[],4,FALSE),"")</f>
        <v/>
      </c>
    </row>
    <row r="27" spans="2:11" ht="32.1" customHeight="1" x14ac:dyDescent="0.25">
      <c r="C27" s="15" t="s">
        <v>51</v>
      </c>
      <c r="D27" s="15" t="s">
        <v>33</v>
      </c>
      <c r="E27" s="21">
        <v>2</v>
      </c>
      <c r="F27" s="21">
        <f>IFERROR(VLOOKUP(在庫ピッキング_リスト6[[#This Row],[SKU]],在庫リスト[],6,FALSE),"")</f>
        <v>10</v>
      </c>
      <c r="G27" s="15" t="str">
        <f>IFERROR(VLOOKUP(在庫ピッキング_リスト6[[#This Row],[SKU]],在庫リスト[],2,FALSE),"")</f>
        <v>品目 7</v>
      </c>
      <c r="H27" s="15" t="str">
        <f>IFERROR(VLOOKUP(在庫ピッキング_リスト6[[#This Row],[SKU]],在庫リスト[],5,FALSE),"")</f>
        <v>個</v>
      </c>
      <c r="I27" s="15" t="str">
        <f>IFERROR(VLOOKUP(在庫ピッキング_リスト6[[#This Row],[SKU]],在庫リスト[],3,FALSE),"")</f>
        <v>T349</v>
      </c>
      <c r="J27" s="15" t="str">
        <f>IFERROR(VLOOKUP(在庫ピッキング_リスト6[[#This Row],[SKU]],在庫リスト[],4,FALSE),"")</f>
        <v/>
      </c>
    </row>
    <row r="28" spans="2:11" ht="32.1" customHeight="1" x14ac:dyDescent="0.25">
      <c r="C28" s="15" t="s">
        <v>51</v>
      </c>
      <c r="D28" s="15" t="s">
        <v>42</v>
      </c>
      <c r="E28" s="21">
        <v>6</v>
      </c>
      <c r="F28" s="21">
        <f>IFERROR(VLOOKUP(在庫ピッキング_リスト6[[#This Row],[SKU]],在庫リスト[],6,FALSE),"")</f>
        <v>15</v>
      </c>
      <c r="G28" s="15" t="str">
        <f>IFERROR(VLOOKUP(在庫ピッキング_リスト6[[#This Row],[SKU]],在庫リスト[],2,FALSE),"")</f>
        <v>品目 10</v>
      </c>
      <c r="H28" s="15" t="str">
        <f>IFERROR(VLOOKUP(在庫ピッキング_リスト6[[#This Row],[SKU]],在庫リスト[],5,FALSE),"")</f>
        <v>個</v>
      </c>
      <c r="I28" s="15" t="str">
        <f>IFERROR(VLOOKUP(在庫ピッキング_リスト6[[#This Row],[SKU]],在庫リスト[],3,FALSE),"")</f>
        <v>T349</v>
      </c>
      <c r="J28" s="15" t="str">
        <f>IFERROR(VLOOKUP(在庫ピッキング_リスト6[[#This Row],[SKU]],在庫リスト[],4,FALSE),"")</f>
        <v/>
      </c>
    </row>
    <row r="29" spans="2:11" ht="32.1" customHeight="1" x14ac:dyDescent="0.25">
      <c r="C29" s="15" t="s">
        <v>51</v>
      </c>
      <c r="D29" s="15" t="s">
        <v>21</v>
      </c>
      <c r="E29" s="21">
        <v>3</v>
      </c>
      <c r="F29" s="21">
        <f>IFERROR(VLOOKUP(在庫ピッキング_リスト6[[#This Row],[SKU]],在庫リスト[],6,FALSE),"")</f>
        <v>10</v>
      </c>
      <c r="G29" s="15" t="str">
        <f>IFERROR(VLOOKUP(在庫ピッキング_リスト6[[#This Row],[SKU]],在庫リスト[],2,FALSE),"")</f>
        <v>品目 3</v>
      </c>
      <c r="H29" s="15" t="str">
        <f>IFERROR(VLOOKUP(在庫ピッキング_リスト6[[#This Row],[SKU]],在庫リスト[],5,FALSE),"")</f>
        <v>個</v>
      </c>
      <c r="I29" s="15" t="str">
        <f>IFERROR(VLOOKUP(在庫ピッキング_リスト6[[#This Row],[SKU]],在庫リスト[],3,FALSE),"")</f>
        <v>T5789</v>
      </c>
      <c r="J29" s="15" t="str">
        <f>IFERROR(VLOOKUP(在庫ピッキング_リスト6[[#This Row],[SKU]],在庫リスト[],4,FALSE),"")</f>
        <v/>
      </c>
    </row>
    <row r="30" spans="2:11" ht="32.1" customHeight="1" x14ac:dyDescent="0.25"/>
    <row r="31" spans="2:11" ht="32.1" customHeight="1" x14ac:dyDescent="0.25"/>
    <row r="32" spans="2:11" ht="54" customHeight="1" thickBot="1" x14ac:dyDescent="0.3">
      <c r="C32" s="33" t="s">
        <v>52</v>
      </c>
      <c r="D32" s="33"/>
      <c r="E32" s="33"/>
      <c r="F32" s="33"/>
      <c r="G32" s="33"/>
      <c r="H32" s="33"/>
    </row>
    <row r="33" spans="3:8" ht="32.1" customHeight="1" thickTop="1" x14ac:dyDescent="0.25">
      <c r="D33" s="13"/>
      <c r="E33" s="32"/>
      <c r="F33" s="32"/>
      <c r="G33" s="32"/>
      <c r="H33" s="32"/>
    </row>
    <row r="34" spans="3:8" ht="32.1" customHeight="1" x14ac:dyDescent="0.25">
      <c r="C34" s="14"/>
      <c r="D34" s="14"/>
      <c r="E34" s="14"/>
      <c r="F34" s="14"/>
      <c r="G34" s="14"/>
      <c r="H34" s="14"/>
    </row>
    <row r="35" spans="3:8" ht="32.1" customHeight="1" x14ac:dyDescent="0.25">
      <c r="C35" s="29" t="s">
        <v>7</v>
      </c>
      <c r="D35" s="29" t="s">
        <v>6</v>
      </c>
      <c r="E35" s="29" t="s">
        <v>8</v>
      </c>
      <c r="F35" s="29" t="s">
        <v>53</v>
      </c>
      <c r="G35" s="29" t="s">
        <v>54</v>
      </c>
      <c r="H35" s="29" t="s">
        <v>55</v>
      </c>
    </row>
    <row r="36" spans="3:8" ht="32.1" customHeight="1" x14ac:dyDescent="0.25">
      <c r="C36" s="15" t="s">
        <v>17</v>
      </c>
      <c r="D36" s="15" t="s">
        <v>56</v>
      </c>
      <c r="E36" s="15" t="s">
        <v>57</v>
      </c>
      <c r="F36" s="16">
        <v>50</v>
      </c>
      <c r="G36" s="16">
        <v>10</v>
      </c>
      <c r="H36" s="16">
        <v>10</v>
      </c>
    </row>
    <row r="37" spans="3:8" ht="32.1" customHeight="1" x14ac:dyDescent="0.25">
      <c r="C37" s="15" t="s">
        <v>23</v>
      </c>
      <c r="D37" s="15" t="s">
        <v>58</v>
      </c>
      <c r="E37" s="15" t="s">
        <v>59</v>
      </c>
      <c r="F37" s="16">
        <v>25</v>
      </c>
      <c r="G37" s="16">
        <v>5</v>
      </c>
      <c r="H37" s="16">
        <v>5</v>
      </c>
    </row>
    <row r="38" spans="3:8" ht="32.1" customHeight="1" x14ac:dyDescent="0.25">
      <c r="C38" s="15" t="s">
        <v>26</v>
      </c>
      <c r="D38" s="15" t="s">
        <v>56</v>
      </c>
      <c r="E38" s="15" t="s">
        <v>60</v>
      </c>
      <c r="F38" s="16">
        <v>50</v>
      </c>
      <c r="G38" s="16">
        <v>10</v>
      </c>
      <c r="H38" s="16">
        <v>10</v>
      </c>
    </row>
    <row r="39" spans="3:8" ht="32.1" customHeight="1" x14ac:dyDescent="0.25">
      <c r="C39" s="15" t="s">
        <v>30</v>
      </c>
      <c r="D39" s="15" t="s">
        <v>61</v>
      </c>
      <c r="E39" s="15" t="s">
        <v>62</v>
      </c>
      <c r="F39" s="16">
        <v>30</v>
      </c>
      <c r="G39" s="16">
        <v>7</v>
      </c>
      <c r="H39" s="16">
        <v>10</v>
      </c>
    </row>
    <row r="40" spans="3:8" ht="32.1" customHeight="1" x14ac:dyDescent="0.25">
      <c r="C40" s="15" t="s">
        <v>35</v>
      </c>
      <c r="D40" s="15" t="s">
        <v>58</v>
      </c>
      <c r="E40" s="15" t="s">
        <v>63</v>
      </c>
      <c r="F40" s="16">
        <v>25</v>
      </c>
      <c r="G40" s="16">
        <v>5</v>
      </c>
      <c r="H40" s="16">
        <v>5</v>
      </c>
    </row>
    <row r="41" spans="3:8" ht="32.1" customHeight="1" x14ac:dyDescent="0.25">
      <c r="C41" s="15" t="s">
        <v>23</v>
      </c>
      <c r="D41" s="15" t="s">
        <v>56</v>
      </c>
      <c r="E41" s="15" t="s">
        <v>64</v>
      </c>
      <c r="F41" s="16">
        <v>50</v>
      </c>
      <c r="G41" s="16">
        <v>10</v>
      </c>
      <c r="H41" s="16">
        <v>10</v>
      </c>
    </row>
    <row r="42" spans="3:8" ht="32.1" customHeight="1" x14ac:dyDescent="0.25">
      <c r="C42" s="15" t="s">
        <v>40</v>
      </c>
      <c r="D42" s="15" t="s">
        <v>56</v>
      </c>
      <c r="E42" s="15" t="s">
        <v>65</v>
      </c>
      <c r="F42" s="16">
        <v>50</v>
      </c>
      <c r="G42" s="16">
        <v>10</v>
      </c>
      <c r="H42" s="16">
        <v>10</v>
      </c>
    </row>
    <row r="43" spans="3:8" ht="32.1" customHeight="1" x14ac:dyDescent="0.25"/>
    <row r="44" spans="3:8" ht="32.1" customHeight="1" x14ac:dyDescent="0.25"/>
    <row r="45" spans="3:8" ht="32.1" customHeight="1" x14ac:dyDescent="0.25"/>
    <row r="46" spans="3:8" ht="32.1" customHeight="1" x14ac:dyDescent="0.25"/>
    <row r="47" spans="3:8" ht="32.1" customHeight="1" x14ac:dyDescent="0.25"/>
    <row r="48" spans="3:8" ht="32.1" customHeight="1" x14ac:dyDescent="0.25"/>
    <row r="49" ht="32.1" customHeight="1" x14ac:dyDescent="0.25"/>
    <row r="50" ht="32.1" customHeight="1" x14ac:dyDescent="0.25"/>
    <row r="51" ht="32.1" customHeight="1" x14ac:dyDescent="0.25"/>
    <row r="52" ht="32.1" customHeight="1" x14ac:dyDescent="0.25"/>
    <row r="53" ht="32.1" customHeight="1" x14ac:dyDescent="0.25"/>
    <row r="54" ht="32.1" customHeight="1" x14ac:dyDescent="0.25"/>
    <row r="55" ht="32.1" customHeight="1" x14ac:dyDescent="0.25"/>
    <row r="56" ht="32.1" customHeight="1" x14ac:dyDescent="0.25"/>
    <row r="57" ht="32.1" customHeight="1" x14ac:dyDescent="0.25"/>
    <row r="58" ht="32.1" customHeight="1" x14ac:dyDescent="0.25"/>
    <row r="59" ht="32.1" customHeight="1" x14ac:dyDescent="0.25"/>
    <row r="60" ht="32.1" customHeight="1" x14ac:dyDescent="0.25"/>
    <row r="61" ht="32.1" customHeight="1" x14ac:dyDescent="0.25"/>
    <row r="62" ht="32.1" customHeight="1" x14ac:dyDescent="0.25"/>
    <row r="63" ht="32.1" customHeight="1" x14ac:dyDescent="0.25"/>
    <row r="64" ht="32.1" customHeight="1" x14ac:dyDescent="0.25"/>
    <row r="65" ht="32.1" customHeight="1" x14ac:dyDescent="0.25"/>
    <row r="66" ht="32.1" customHeight="1" x14ac:dyDescent="0.25"/>
    <row r="67" ht="32.1" customHeight="1" x14ac:dyDescent="0.25"/>
    <row r="68" ht="32.1" customHeight="1" x14ac:dyDescent="0.25"/>
    <row r="69" ht="32.1" customHeight="1" x14ac:dyDescent="0.25"/>
    <row r="70" ht="32.1" customHeight="1" x14ac:dyDescent="0.25"/>
    <row r="71" ht="32.1" customHeight="1" x14ac:dyDescent="0.25"/>
    <row r="72" ht="32.1" customHeight="1" x14ac:dyDescent="0.25"/>
    <row r="73" ht="32.1" customHeight="1" x14ac:dyDescent="0.25"/>
    <row r="74" ht="32.1" customHeight="1" x14ac:dyDescent="0.25"/>
    <row r="75" ht="32.1" customHeight="1" x14ac:dyDescent="0.25"/>
    <row r="76" ht="32.1" customHeight="1" x14ac:dyDescent="0.25"/>
    <row r="77" ht="32.1" customHeight="1" x14ac:dyDescent="0.25"/>
    <row r="78" ht="32.1" customHeight="1" x14ac:dyDescent="0.25"/>
    <row r="79" ht="32.1" customHeight="1" x14ac:dyDescent="0.25"/>
    <row r="80" ht="32.1" customHeight="1" x14ac:dyDescent="0.25"/>
    <row r="81" ht="32.1" customHeight="1" x14ac:dyDescent="0.25"/>
    <row r="82" ht="32.1" customHeight="1" x14ac:dyDescent="0.25"/>
    <row r="83" ht="32.1" customHeight="1" x14ac:dyDescent="0.25"/>
    <row r="84" ht="32.1" customHeight="1" x14ac:dyDescent="0.25"/>
    <row r="85" ht="32.1" customHeight="1" x14ac:dyDescent="0.25"/>
    <row r="86" ht="32.1" customHeight="1" x14ac:dyDescent="0.25"/>
    <row r="87" ht="32.1" customHeight="1" x14ac:dyDescent="0.25"/>
    <row r="88" ht="32.1" customHeight="1" x14ac:dyDescent="0.25"/>
    <row r="89" ht="32.1" customHeight="1" x14ac:dyDescent="0.25"/>
    <row r="90" ht="32.1" customHeight="1" x14ac:dyDescent="0.25"/>
    <row r="91" ht="32.1" customHeight="1" x14ac:dyDescent="0.25"/>
    <row r="92" ht="32.1" customHeight="1" x14ac:dyDescent="0.25"/>
    <row r="93" ht="32.1" customHeight="1" x14ac:dyDescent="0.25"/>
    <row r="94" ht="32.1" customHeight="1" x14ac:dyDescent="0.25"/>
    <row r="95" ht="32.1" customHeight="1" x14ac:dyDescent="0.25"/>
    <row r="96" ht="32.1" customHeight="1" x14ac:dyDescent="0.25"/>
    <row r="97" ht="32.1" customHeight="1" x14ac:dyDescent="0.25"/>
    <row r="98" ht="32.1" customHeight="1" x14ac:dyDescent="0.25"/>
    <row r="99" ht="32.1" customHeight="1" x14ac:dyDescent="0.25"/>
  </sheetData>
  <mergeCells count="3">
    <mergeCell ref="B2:K2"/>
    <mergeCell ref="C21:J21"/>
    <mergeCell ref="C32:H32"/>
  </mergeCells>
  <phoneticPr fontId="8"/>
  <conditionalFormatting sqref="B6:K16">
    <cfRule type="expression" dxfId="1" priority="3">
      <formula>$K6=1</formula>
    </cfRule>
  </conditionalFormatting>
  <conditionalFormatting sqref="F25:F29">
    <cfRule type="expression" dxfId="0" priority="1">
      <formula>E25&gt;F25</formula>
    </cfRule>
  </conditionalFormatting>
  <conditionalFormatting sqref="J6:J16">
    <cfRule type="dataBar" priority="22">
      <dataBar>
        <cfvo type="min"/>
        <cfvo type="max"/>
        <color theme="0" tint="-0.14999847407452621"/>
      </dataBar>
      <extLst>
        <ext xmlns:x14="http://schemas.microsoft.com/office/spreadsheetml/2009/9/main" uri="{B025F937-C7B1-47D3-B67F-A62EFF666E3E}">
          <x14:id>{C16733DD-9DB8-E541-BF04-FEAAE99CF9A3}</x14:id>
        </ext>
      </extLst>
    </cfRule>
    <cfRule type="dataBar" priority="23">
      <dataBar>
        <cfvo type="min"/>
        <cfvo type="max"/>
        <color theme="2" tint="-0.34998626667073579"/>
      </dataBar>
      <extLst>
        <ext xmlns:x14="http://schemas.microsoft.com/office/spreadsheetml/2009/9/main" uri="{B025F937-C7B1-47D3-B67F-A62EFF666E3E}">
          <x14:id>{B7FAAC13-0945-4497-B308-0378DA16CDD0}</x14:id>
        </ext>
      </extLst>
    </cfRule>
  </conditionalFormatting>
  <dataValidations xWindow="1470" yWindow="373" count="28">
    <dataValidation allowBlank="1" showInputMessage="1" showErrorMessage="1" prompt="自動的に計算された在庫の評価額の合計" sqref="B4" xr:uid="{00000000-0002-0000-0100-000001000000}"/>
    <dataValidation allowBlank="1" showInputMessage="1" showErrorMessage="1" prompt="自動的に計算されたビン数" sqref="D4" xr:uid="{00000000-0002-0000-0100-000002000000}"/>
    <dataValidation allowBlank="1" showInputMessage="1" showErrorMessage="1" prompt="説明に基づき、自動的に計算された在庫品目の数" sqref="C4" xr:uid="{00000000-0002-0000-0100-000003000000}"/>
    <dataValidation allowBlank="1" showInputMessage="1" showErrorMessage="1" prompt="この見出しの下で、この列に SKU を入力します" sqref="B5" xr:uid="{00000000-0002-0000-0100-000004000000}"/>
    <dataValidation allowBlank="1" showInputMessage="1" showErrorMessage="1" prompt="この見出しの下で、この列に品目の説明を入力します" sqref="C5" xr:uid="{00000000-0002-0000-0100-000005000000}"/>
    <dataValidation allowBlank="1" showInputMessage="1" showErrorMessage="1" prompt="この見出しの下の、この列のドロップダウン リストから、[ビン番号] を選択します。Alt キーを押しながら下方向キーを押してドロップダウン リストを開き、Enter キーを押していずれかの項目を選択します" sqref="D5" xr:uid="{00000000-0002-0000-0100-000006000000}"/>
    <dataValidation allowBlank="1" showInputMessage="1" showErrorMessage="1" prompt="場所は、ビン番号と [ルックアップ] ワークシートの情報を使用して、この見出しの下のこの列で自動的に更新されます" sqref="E5" xr:uid="{00000000-0002-0000-0100-000007000000}"/>
    <dataValidation allowBlank="1" showInputMessage="1" showErrorMessage="1" prompt="この見出しの下で、この列に単位を入力します" sqref="F5" xr:uid="{00000000-0002-0000-0100-000008000000}"/>
    <dataValidation allowBlank="1" showInputMessage="1" showErrorMessage="1" prompt="この見出しの下で、この列に各品目の数量を入力します" sqref="G5" xr:uid="{00000000-0002-0000-0100-000009000000}"/>
    <dataValidation allowBlank="1" showInputMessage="1" showErrorMessage="1" prompt="この見出しの下で、この列に再発注の数量を入力します" sqref="H5" xr:uid="{00000000-0002-0000-0100-00000A000000}"/>
    <dataValidation allowBlank="1" showInputMessage="1" showErrorMessage="1" prompt="この見出しの下で、この列に各品目のコストを入力します" sqref="I5" xr:uid="{00000000-0002-0000-0100-00000B000000}"/>
    <dataValidation allowBlank="1" showInputMessage="1" showErrorMessage="1" prompt="在庫値は、この見出しのこの列で、表の [QTY (数量)] と [コスト] の値を使用して自動的に計算されます。" sqref="J5" xr:uid="{00000000-0002-0000-0100-00000C000000}"/>
    <dataValidation allowBlank="1" showInputMessage="1" showErrorMessage="1" prompt="この見出しの下の、この列のフラグ アイコンは、在庫内の品目を並べ替える準備ができている状態を示します" sqref="K5" xr:uid="{00000000-0002-0000-0100-00000D000000}"/>
    <dataValidation allowBlank="1" showInputMessage="1" showErrorMessage="1" prompt="[開始] ワークシートのへのナビゲーション リンク" sqref="G3" xr:uid="{00000000-0002-0000-0100-00000F000000}"/>
    <dataValidation allowBlank="1" showInputMessage="1" showErrorMessage="1" prompt="[在庫ピッキング リスト] ワークシートに移動するナビゲーション リンク" sqref="J3" xr:uid="{00000000-0002-0000-0100-000010000000}"/>
    <dataValidation allowBlank="1" showInputMessage="1" showErrorMessage="1" prompt="[在庫値の合計] は以下で自動的に更新されます" sqref="B3" xr:uid="{00000000-0002-0000-0100-000011000000}"/>
    <dataValidation allowBlank="1" showInputMessage="1" showErrorMessage="1" prompt="[在庫の品目] は以下で自動的に計算されます" sqref="C3" xr:uid="{00000000-0002-0000-0100-000012000000}"/>
    <dataValidation allowBlank="1" showInputMessage="1" showErrorMessage="1" prompt="[ビン数] は以下で自動的に計算されます" sqref="D3" xr:uid="{00000000-0002-0000-0100-000013000000}"/>
    <dataValidation allowBlank="1" showInputMessage="1" showErrorMessage="1" prompt="このワークシートでは、再発注の準備ができた品目が、K 列で自動的にフラグ設定されて表示されます。[開始] および [在庫ピッキング リスト] ワークシートのセル G3 および J3 には、2 つのナビゲーション リンクがあります。" sqref="A1" xr:uid="{11A70441-222F-4CD8-9B8E-901FD105884B}"/>
    <dataValidation type="list" errorStyle="warning" allowBlank="1" showInputMessage="1" showErrorMessage="1" error="このビン番号はリストにありません。エントリを維持する場合は [はい] を、それを [ビンのルックアップ] ワークシートの表に追加する (これにより、そのビン番号がこのドロップダウン リストに追加されます) 場合は [キャンセル] を、Alt キーを押しながら下方向キーを押してリストから選択するには、[いいえ] を選択します" sqref="D6:D16" xr:uid="{00000000-0002-0000-0100-00000E000000}">
      <formula1>ビン番号</formula1>
    </dataValidation>
    <dataValidation allowBlank="1" showInputMessage="1" showErrorMessage="1" prompt="[ナビゲーション リンク] ワークシートへのナビゲーション リンク" sqref="F33" xr:uid="{F94FABFB-F00B-4AB1-8D14-3BC18FA986B4}"/>
    <dataValidation allowBlank="1" showInputMessage="1" showErrorMessage="1" prompt="[在庫ピッキング リスト] ワークシートへのナビゲーション リンク" sqref="D33" xr:uid="{3F22923C-369F-45C8-A8D9-264D1F553205}"/>
    <dataValidation allowBlank="1" showInputMessage="1" showErrorMessage="1" prompt="この見出しの下で、この列にビンの長さを入力します" sqref="H35" xr:uid="{02D26724-EDF6-4529-BE06-AAF8763FF539}"/>
    <dataValidation allowBlank="1" showInputMessage="1" showErrorMessage="1" prompt="この見出しの下で、この列にビンの高さを入力します" sqref="G35" xr:uid="{E069844F-3569-4995-A204-8DE2FA8E04A1}"/>
    <dataValidation allowBlank="1" showInputMessage="1" showErrorMessage="1" prompt="この見出しの下で、この列にビンの幅を入力します" sqref="F35" xr:uid="{0C0672E9-8493-4EDD-B18B-D1A4045847D4}"/>
    <dataValidation allowBlank="1" showInputMessage="1" showErrorMessage="1" prompt="この見出しの下で、この列にビンの場所を入力します" sqref="E35" xr:uid="{D980D083-9098-4D83-8706-70E3BCCE5817}"/>
    <dataValidation allowBlank="1" showInputMessage="1" showErrorMessage="1" prompt="この見出しの下で、この列にビンの説明を入力します" sqref="D35" xr:uid="{AA7CB9D2-43CD-4BDE-B769-58BC9B708A40}"/>
    <dataValidation allowBlank="1" showInputMessage="1" showErrorMessage="1" prompt="この見出しの下で、この列にビン番号を入力します" sqref="C35" xr:uid="{E031414B-D45B-4419-9EE3-5C906D2EF49F}"/>
  </dataValidations>
  <printOptions horizontalCentered="1"/>
  <pageMargins left="0.25" right="0.25" top="0.75" bottom="0.75" header="0.3" footer="0.3"/>
  <pageSetup paperSize="9" orientation="landscape" r:id="rId1"/>
  <drawing r:id="rId2"/>
  <tableParts count="3">
    <tablePart r:id="rId3"/>
    <tablePart r:id="rId4"/>
    <tablePart r:id="rId5"/>
  </tableParts>
  <extLst>
    <ext xmlns:x14="http://schemas.microsoft.com/office/spreadsheetml/2009/9/main" uri="{78C0D931-6437-407d-A8EE-F0AAD7539E65}">
      <x14:conditionalFormattings>
        <x14:conditionalFormatting xmlns:xm="http://schemas.microsoft.com/office/excel/2006/main">
          <x14:cfRule type="dataBar" id="{C16733DD-9DB8-E541-BF04-FEAAE99CF9A3}">
            <x14:dataBar minLength="0" maxLength="100" gradient="0">
              <x14:cfvo type="autoMin"/>
              <x14:cfvo type="autoMax"/>
              <x14:negativeFillColor rgb="FFFF0000"/>
              <x14:axisColor rgb="FF000000"/>
            </x14:dataBar>
          </x14:cfRule>
          <x14:cfRule type="dataBar" id="{B7FAAC13-0945-4497-B308-0378DA16CDD0}">
            <x14:dataBar minLength="0" maxLength="100" gradient="0">
              <x14:cfvo type="autoMin"/>
              <x14:cfvo type="autoMax"/>
              <x14:negativeFillColor rgb="FFFF0000"/>
              <x14:axisColor rgb="FF000000"/>
            </x14:dataBar>
          </x14:cfRule>
          <xm:sqref>J6:J16</xm:sqref>
        </x14:conditionalFormatting>
        <x14:conditionalFormatting xmlns:xm="http://schemas.microsoft.com/office/excel/2006/main">
          <x14:cfRule type="iconSet" priority="26" id="{AC6CABC8-B392-410F-BF01-FBE3A7AF244A}">
            <x14:iconSet iconSet="3Flags" custom="1">
              <x14:cfvo type="percent">
                <xm:f>0</xm:f>
              </x14:cfvo>
              <x14:cfvo type="num">
                <xm:f>0</xm:f>
              </x14:cfvo>
              <x14:cfvo type="num">
                <xm:f>1</xm:f>
              </x14:cfvo>
              <x14:cfIcon iconSet="NoIcons" iconId="0"/>
              <x14:cfIcon iconSet="NoIcons" iconId="0"/>
              <x14:cfIcon iconSet="3Flags" iconId="0"/>
            </x14:iconSet>
          </x14:cfRule>
          <xm:sqref>K6:K16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tabColor theme="4" tint="0.59999389629810485"/>
    <pageSetUpPr fitToPage="1"/>
  </sheetPr>
  <dimension ref="A1:F32"/>
  <sheetViews>
    <sheetView showGridLines="0" tabSelected="1" zoomScaleNormal="100" workbookViewId="0">
      <selection activeCell="F22" sqref="F22"/>
    </sheetView>
  </sheetViews>
  <sheetFormatPr defaultColWidth="8.77734375" defaultRowHeight="20.25" customHeight="1" x14ac:dyDescent="0.25"/>
  <cols>
    <col min="1" max="1" width="5.77734375" style="8" customWidth="1"/>
    <col min="2" max="2" width="7.6640625" style="8" customWidth="1"/>
    <col min="3" max="3" width="84.5546875" style="8" customWidth="1"/>
    <col min="4" max="5" width="5.77734375" style="8" customWidth="1"/>
    <col min="6" max="6" width="75.6640625" style="8" customWidth="1"/>
    <col min="7" max="16384" width="8.77734375" style="8"/>
  </cols>
  <sheetData>
    <row r="1" spans="1:6" ht="30" customHeight="1" x14ac:dyDescent="0.25">
      <c r="A1" s="32"/>
      <c r="B1" s="32"/>
      <c r="C1" s="32"/>
      <c r="D1" s="32"/>
      <c r="E1" s="32"/>
      <c r="F1" s="11"/>
    </row>
    <row r="2" spans="1:6" ht="99.95" customHeight="1" x14ac:dyDescent="0.25">
      <c r="A2" s="35" t="s">
        <v>66</v>
      </c>
      <c r="B2" s="35"/>
      <c r="C2" s="35"/>
      <c r="D2" s="35"/>
      <c r="E2" s="35"/>
      <c r="F2" s="11"/>
    </row>
    <row r="3" spans="1:6" ht="75" customHeight="1" x14ac:dyDescent="0.25">
      <c r="A3" s="32"/>
      <c r="B3" s="34" t="s">
        <v>67</v>
      </c>
      <c r="C3" s="34"/>
      <c r="D3" s="34"/>
      <c r="E3" s="32"/>
      <c r="F3" s="11"/>
    </row>
    <row r="4" spans="1:6" ht="131.25" customHeight="1" x14ac:dyDescent="0.25">
      <c r="A4" s="32"/>
      <c r="B4" s="36" t="s">
        <v>68</v>
      </c>
      <c r="C4" s="36"/>
      <c r="D4" s="36"/>
      <c r="E4" s="32"/>
      <c r="F4" s="11"/>
    </row>
    <row r="5" spans="1:6" ht="50.1" customHeight="1" x14ac:dyDescent="0.25">
      <c r="A5" s="32"/>
      <c r="B5" s="10">
        <v>1</v>
      </c>
      <c r="C5" s="31" t="s">
        <v>69</v>
      </c>
      <c r="D5" s="31"/>
      <c r="E5" s="32"/>
      <c r="F5" s="12"/>
    </row>
    <row r="6" spans="1:6" ht="50.1" customHeight="1" x14ac:dyDescent="0.25">
      <c r="A6" s="32"/>
      <c r="B6" s="10">
        <v>2</v>
      </c>
      <c r="C6" s="31" t="s">
        <v>70</v>
      </c>
      <c r="D6" s="31"/>
      <c r="E6" s="32"/>
    </row>
    <row r="7" spans="1:6" ht="64.900000000000006" customHeight="1" x14ac:dyDescent="0.25">
      <c r="A7" s="32"/>
      <c r="B7" s="10"/>
      <c r="C7" s="31"/>
      <c r="D7" s="31"/>
      <c r="E7" s="32"/>
    </row>
    <row r="8" spans="1:6" ht="80.099999999999994" customHeight="1" x14ac:dyDescent="0.25">
      <c r="A8" s="32"/>
      <c r="B8" s="10">
        <v>3</v>
      </c>
      <c r="C8" s="31" t="s">
        <v>71</v>
      </c>
      <c r="D8" s="31"/>
      <c r="E8" s="32"/>
      <c r="F8" s="11"/>
    </row>
    <row r="9" spans="1:6" ht="50.1" customHeight="1" x14ac:dyDescent="0.25">
      <c r="A9" s="32"/>
      <c r="B9" s="10">
        <v>4</v>
      </c>
      <c r="C9" s="31" t="s">
        <v>72</v>
      </c>
      <c r="D9" s="31"/>
      <c r="E9" s="32"/>
      <c r="F9" s="11"/>
    </row>
    <row r="10" spans="1:6" ht="39.950000000000003" customHeight="1" x14ac:dyDescent="0.25">
      <c r="A10" s="32"/>
      <c r="B10" s="10"/>
      <c r="C10" s="31" t="s">
        <v>73</v>
      </c>
      <c r="D10" s="31"/>
      <c r="E10" s="32"/>
      <c r="F10" s="11"/>
    </row>
    <row r="11" spans="1:6" ht="39.950000000000003" customHeight="1" x14ac:dyDescent="0.25">
      <c r="A11" s="32"/>
      <c r="B11" s="10"/>
      <c r="C11" s="31" t="s">
        <v>74</v>
      </c>
      <c r="D11" s="31"/>
      <c r="E11" s="32"/>
      <c r="F11" s="11"/>
    </row>
    <row r="12" spans="1:6" ht="39.950000000000003" customHeight="1" x14ac:dyDescent="0.25">
      <c r="A12" s="32"/>
      <c r="B12" s="10"/>
      <c r="C12" s="31" t="s">
        <v>75</v>
      </c>
      <c r="D12" s="31"/>
      <c r="E12" s="32"/>
      <c r="F12" s="11"/>
    </row>
    <row r="13" spans="1:6" ht="41.1" customHeight="1" x14ac:dyDescent="0.25">
      <c r="A13" s="32"/>
      <c r="B13" s="10"/>
      <c r="C13" s="31" t="s">
        <v>76</v>
      </c>
      <c r="D13" s="31"/>
      <c r="E13" s="32"/>
      <c r="F13" s="11"/>
    </row>
    <row r="14" spans="1:6" ht="39.950000000000003" customHeight="1" x14ac:dyDescent="0.25">
      <c r="A14" s="32"/>
      <c r="B14" s="10"/>
      <c r="C14" s="31" t="s">
        <v>77</v>
      </c>
      <c r="D14" s="31"/>
      <c r="E14" s="32"/>
      <c r="F14" s="11"/>
    </row>
    <row r="15" spans="1:6" ht="69.95" customHeight="1" x14ac:dyDescent="0.25">
      <c r="A15" s="32"/>
      <c r="B15" s="10"/>
      <c r="C15" s="31" t="s">
        <v>78</v>
      </c>
      <c r="D15" s="31"/>
      <c r="E15" s="32"/>
      <c r="F15" s="11"/>
    </row>
    <row r="16" spans="1:6" ht="54" customHeight="1" x14ac:dyDescent="0.25">
      <c r="A16" s="35" t="s">
        <v>79</v>
      </c>
      <c r="B16" s="35"/>
      <c r="C16" s="35"/>
      <c r="D16" s="35"/>
      <c r="E16" s="35"/>
      <c r="F16" s="11"/>
    </row>
    <row r="17" spans="1:6" ht="46.5" customHeight="1" x14ac:dyDescent="0.25">
      <c r="A17" s="32"/>
      <c r="B17" s="37" t="s">
        <v>80</v>
      </c>
      <c r="C17" s="37"/>
      <c r="D17" s="37"/>
      <c r="E17" s="32"/>
    </row>
    <row r="18" spans="1:6" ht="59.25" customHeight="1" x14ac:dyDescent="0.25">
      <c r="A18" s="32"/>
      <c r="B18" s="10">
        <v>1</v>
      </c>
      <c r="C18" s="31" t="s">
        <v>81</v>
      </c>
      <c r="D18" s="31"/>
      <c r="E18" s="32"/>
    </row>
    <row r="19" spans="1:6" ht="46.5" customHeight="1" x14ac:dyDescent="0.25">
      <c r="A19" s="32"/>
      <c r="B19" s="10">
        <v>3</v>
      </c>
      <c r="C19" s="31" t="s">
        <v>82</v>
      </c>
      <c r="D19" s="31"/>
      <c r="E19" s="32"/>
    </row>
    <row r="20" spans="1:6" ht="46.5" customHeight="1" x14ac:dyDescent="0.25">
      <c r="A20" s="32"/>
      <c r="B20" s="10">
        <v>4</v>
      </c>
      <c r="C20" s="31" t="s">
        <v>83</v>
      </c>
      <c r="D20" s="31"/>
      <c r="E20" s="32"/>
    </row>
    <row r="21" spans="1:6" ht="46.5" customHeight="1" x14ac:dyDescent="0.25">
      <c r="A21" s="32"/>
      <c r="B21" s="10">
        <v>5</v>
      </c>
      <c r="C21" s="31" t="s">
        <v>84</v>
      </c>
      <c r="D21" s="31"/>
      <c r="E21" s="32"/>
    </row>
    <row r="22" spans="1:6" ht="282.75" customHeight="1" x14ac:dyDescent="0.25">
      <c r="A22" s="32"/>
      <c r="B22" s="32"/>
      <c r="C22" s="9" t="s">
        <v>85</v>
      </c>
      <c r="D22" s="32"/>
      <c r="E22" s="32"/>
      <c r="F22" s="32"/>
    </row>
    <row r="23" spans="1:6" ht="20.25" customHeight="1" x14ac:dyDescent="0.25">
      <c r="A23" s="32"/>
      <c r="B23" s="32"/>
      <c r="C23" s="9"/>
      <c r="D23" s="32"/>
      <c r="E23" s="32"/>
      <c r="F23" s="32"/>
    </row>
    <row r="24" spans="1:6" ht="20.25" customHeight="1" x14ac:dyDescent="0.25">
      <c r="A24" s="32"/>
      <c r="B24" s="32"/>
      <c r="C24" s="9"/>
      <c r="D24" s="32"/>
      <c r="E24" s="32"/>
      <c r="F24" s="32"/>
    </row>
    <row r="25" spans="1:6" ht="20.25" customHeight="1" x14ac:dyDescent="0.25">
      <c r="A25" s="32"/>
      <c r="B25" s="32"/>
      <c r="C25" s="9"/>
      <c r="D25" s="32"/>
      <c r="E25" s="32"/>
      <c r="F25" s="32"/>
    </row>
    <row r="26" spans="1:6" ht="20.25" customHeight="1" x14ac:dyDescent="0.25">
      <c r="A26" s="32"/>
      <c r="B26" s="32"/>
      <c r="C26" s="9"/>
      <c r="D26" s="32"/>
      <c r="E26" s="32"/>
      <c r="F26" s="32"/>
    </row>
    <row r="27" spans="1:6" ht="20.25" customHeight="1" x14ac:dyDescent="0.25">
      <c r="A27" s="32"/>
      <c r="B27" s="32"/>
      <c r="C27" s="9"/>
      <c r="D27" s="32"/>
      <c r="E27" s="32"/>
      <c r="F27" s="32"/>
    </row>
    <row r="28" spans="1:6" ht="20.25" customHeight="1" x14ac:dyDescent="0.25">
      <c r="A28" s="32"/>
      <c r="B28" s="32"/>
      <c r="C28" s="9"/>
      <c r="D28" s="32"/>
      <c r="E28" s="32"/>
      <c r="F28" s="32"/>
    </row>
    <row r="29" spans="1:6" ht="20.25" customHeight="1" x14ac:dyDescent="0.25">
      <c r="A29" s="32"/>
      <c r="B29" s="32"/>
      <c r="C29" s="9"/>
      <c r="D29" s="32"/>
      <c r="E29" s="32"/>
      <c r="F29" s="32"/>
    </row>
    <row r="30" spans="1:6" ht="20.25" customHeight="1" x14ac:dyDescent="0.25">
      <c r="A30" s="32"/>
      <c r="B30" s="32"/>
      <c r="C30" s="9"/>
      <c r="D30" s="32"/>
      <c r="E30" s="32"/>
      <c r="F30" s="32"/>
    </row>
    <row r="31" spans="1:6" ht="20.25" customHeight="1" x14ac:dyDescent="0.25">
      <c r="A31" s="32"/>
      <c r="B31" s="32"/>
      <c r="C31" s="9"/>
      <c r="D31" s="32"/>
      <c r="E31" s="32"/>
      <c r="F31" s="32"/>
    </row>
    <row r="32" spans="1:6" ht="20.25" customHeight="1" x14ac:dyDescent="0.25">
      <c r="A32" s="32"/>
      <c r="B32" s="32"/>
      <c r="C32" s="9"/>
      <c r="D32" s="32"/>
      <c r="E32" s="32"/>
      <c r="F32" s="32"/>
    </row>
  </sheetData>
  <mergeCells count="5">
    <mergeCell ref="B3:D3"/>
    <mergeCell ref="A2:E2"/>
    <mergeCell ref="B4:D4"/>
    <mergeCell ref="A16:E16"/>
    <mergeCell ref="B17:D17"/>
  </mergeCells>
  <phoneticPr fontId="8"/>
  <dataValidations xWindow="1351" yWindow="677" count="1">
    <dataValidation allowBlank="1" showInputMessage="1" showErrorMessage="1" prompt="[在庫リスト] ワークシートのこのセルの 2 つの移動ボタンのイメージ" sqref="B4:D4" xr:uid="{573355BF-7632-4901-AF42-7E2D71066D72}"/>
  </dataValidations>
  <printOptions horizontalCentered="1"/>
  <pageMargins left="0.25" right="0.25" top="0.75" bottom="0.75" header="0.3" footer="0.3"/>
  <pageSetup paperSize="9" scale="51"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tabColor theme="4" tint="0.39997558519241921"/>
    <pageSetUpPr fitToPage="1"/>
  </sheetPr>
  <dimension ref="A1:F16"/>
  <sheetViews>
    <sheetView showGridLines="0" topLeftCell="A10" zoomScaleNormal="100" workbookViewId="0">
      <selection activeCell="B17" sqref="B17"/>
    </sheetView>
  </sheetViews>
  <sheetFormatPr defaultColWidth="9.77734375" defaultRowHeight="20.25" customHeight="1" x14ac:dyDescent="0.25"/>
  <cols>
    <col min="1" max="1" width="5.77734375" style="8" customWidth="1"/>
    <col min="2" max="2" width="7.6640625" style="8" customWidth="1"/>
    <col min="3" max="4" width="42.33203125" style="8" customWidth="1"/>
    <col min="5" max="6" width="5.77734375" style="8" customWidth="1"/>
    <col min="7" max="16384" width="9.77734375" style="8"/>
  </cols>
  <sheetData>
    <row r="1" spans="1:6" ht="30" customHeight="1" x14ac:dyDescent="0.25">
      <c r="A1" s="32"/>
      <c r="B1" s="32"/>
      <c r="C1" s="32"/>
      <c r="D1" s="32"/>
      <c r="E1" s="32"/>
      <c r="F1" s="32"/>
    </row>
    <row r="2" spans="1:6" ht="99.95" customHeight="1" x14ac:dyDescent="0.25">
      <c r="A2" s="30"/>
      <c r="B2" s="35" t="s">
        <v>86</v>
      </c>
      <c r="C2" s="35"/>
      <c r="D2" s="35"/>
      <c r="E2" s="35"/>
      <c r="F2" s="30"/>
    </row>
    <row r="3" spans="1:6" ht="86.1" customHeight="1" x14ac:dyDescent="0.25">
      <c r="A3" s="32"/>
      <c r="B3" s="37" t="s">
        <v>87</v>
      </c>
      <c r="C3" s="37"/>
      <c r="D3" s="37"/>
      <c r="E3" s="37"/>
      <c r="F3" s="32"/>
    </row>
    <row r="4" spans="1:6" ht="158.1" customHeight="1" x14ac:dyDescent="0.25">
      <c r="A4" s="32"/>
      <c r="B4" s="32"/>
      <c r="C4" s="9" t="s">
        <v>88</v>
      </c>
      <c r="D4" s="9" t="s">
        <v>89</v>
      </c>
      <c r="E4" s="32"/>
      <c r="F4" s="32"/>
    </row>
    <row r="5" spans="1:6" ht="158.1" hidden="1" customHeight="1" x14ac:dyDescent="0.25">
      <c r="A5" s="32"/>
      <c r="B5" s="32"/>
      <c r="C5" s="9"/>
      <c r="D5" s="9"/>
      <c r="E5" s="32"/>
      <c r="F5" s="32"/>
    </row>
    <row r="6" spans="1:6" ht="60" customHeight="1" x14ac:dyDescent="0.25">
      <c r="A6" s="32"/>
      <c r="B6" s="10">
        <v>1</v>
      </c>
      <c r="C6" s="38" t="s">
        <v>90</v>
      </c>
      <c r="D6" s="38"/>
      <c r="E6" s="31"/>
      <c r="F6" s="32"/>
    </row>
    <row r="7" spans="1:6" ht="60" customHeight="1" x14ac:dyDescent="0.25">
      <c r="A7" s="32"/>
      <c r="B7" s="10">
        <v>2</v>
      </c>
      <c r="C7" s="38" t="s">
        <v>91</v>
      </c>
      <c r="D7" s="38"/>
      <c r="E7" s="31"/>
      <c r="F7" s="32"/>
    </row>
    <row r="8" spans="1:6" ht="60" customHeight="1" x14ac:dyDescent="0.25">
      <c r="A8" s="32"/>
      <c r="B8" s="10"/>
      <c r="C8" s="38" t="s">
        <v>92</v>
      </c>
      <c r="D8" s="38"/>
      <c r="E8" s="31"/>
      <c r="F8" s="32"/>
    </row>
    <row r="9" spans="1:6" ht="65.099999999999994" customHeight="1" x14ac:dyDescent="0.25">
      <c r="A9" s="32"/>
      <c r="B9" s="10">
        <v>3</v>
      </c>
      <c r="C9" s="38" t="s">
        <v>93</v>
      </c>
      <c r="D9" s="38"/>
      <c r="E9" s="31"/>
      <c r="F9" s="32"/>
    </row>
    <row r="10" spans="1:6" ht="50.1" customHeight="1" x14ac:dyDescent="0.25">
      <c r="A10" s="32"/>
      <c r="B10" s="10"/>
      <c r="C10" s="38" t="s">
        <v>94</v>
      </c>
      <c r="D10" s="38"/>
      <c r="E10" s="31"/>
      <c r="F10" s="32"/>
    </row>
    <row r="11" spans="1:6" ht="51" customHeight="1" x14ac:dyDescent="0.25">
      <c r="A11" s="32"/>
      <c r="B11" s="10">
        <v>4</v>
      </c>
      <c r="C11" s="38" t="s">
        <v>95</v>
      </c>
      <c r="D11" s="38"/>
      <c r="E11" s="31"/>
      <c r="F11" s="32"/>
    </row>
    <row r="12" spans="1:6" ht="47.1" customHeight="1" x14ac:dyDescent="0.25">
      <c r="A12" s="32"/>
      <c r="B12" s="10">
        <v>5</v>
      </c>
      <c r="C12" s="38" t="s">
        <v>96</v>
      </c>
      <c r="D12" s="38"/>
      <c r="E12" s="31"/>
      <c r="F12" s="32"/>
    </row>
    <row r="13" spans="1:6" ht="30" customHeight="1" x14ac:dyDescent="0.25">
      <c r="A13" s="32"/>
      <c r="B13" s="10"/>
      <c r="C13" s="38" t="s">
        <v>97</v>
      </c>
      <c r="D13" s="38"/>
      <c r="E13" s="31"/>
      <c r="F13" s="32"/>
    </row>
    <row r="14" spans="1:6" ht="30" customHeight="1" x14ac:dyDescent="0.25">
      <c r="A14" s="32"/>
      <c r="B14" s="10"/>
      <c r="C14" s="38" t="s">
        <v>98</v>
      </c>
      <c r="D14" s="38"/>
      <c r="E14" s="31"/>
      <c r="F14" s="32"/>
    </row>
    <row r="15" spans="1:6" ht="60" customHeight="1" x14ac:dyDescent="0.25">
      <c r="A15" s="32"/>
      <c r="B15" s="10"/>
      <c r="C15" s="38" t="s">
        <v>99</v>
      </c>
      <c r="D15" s="38"/>
      <c r="E15" s="31"/>
      <c r="F15" s="32"/>
    </row>
    <row r="16" spans="1:6" ht="20.25" customHeight="1" x14ac:dyDescent="0.25">
      <c r="A16" s="32"/>
      <c r="B16" s="32"/>
      <c r="C16" s="39"/>
      <c r="D16" s="39"/>
      <c r="E16" s="32"/>
      <c r="F16" s="32"/>
    </row>
  </sheetData>
  <mergeCells count="13">
    <mergeCell ref="C13:D13"/>
    <mergeCell ref="C14:D14"/>
    <mergeCell ref="C15:D15"/>
    <mergeCell ref="C16:D16"/>
    <mergeCell ref="B2:E2"/>
    <mergeCell ref="C8:D8"/>
    <mergeCell ref="C9:D9"/>
    <mergeCell ref="C10:D10"/>
    <mergeCell ref="C11:D11"/>
    <mergeCell ref="C12:D12"/>
    <mergeCell ref="B3:E3"/>
    <mergeCell ref="C6:D6"/>
    <mergeCell ref="C7:D7"/>
  </mergeCells>
  <phoneticPr fontId="8"/>
  <printOptions horizontalCentered="1"/>
  <pageMargins left="0.25" right="0.25" top="0.75" bottom="0.75" header="0.3" footer="0.3"/>
  <pageSetup paperSize="9" scale="52"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theme="4" tint="-0.249977111117893"/>
    <pageSetUpPr autoPageBreaks="0" fitToPage="1"/>
  </sheetPr>
  <dimension ref="A1:C5"/>
  <sheetViews>
    <sheetView showGridLines="0" workbookViewId="0">
      <selection activeCell="B10" sqref="B10"/>
    </sheetView>
  </sheetViews>
  <sheetFormatPr defaultColWidth="7.77734375" defaultRowHeight="20.25" customHeight="1" x14ac:dyDescent="0.25"/>
  <cols>
    <col min="1" max="1" width="5.77734375" style="7" customWidth="1"/>
    <col min="2" max="2" width="90.109375" style="2" customWidth="1"/>
    <col min="3" max="3" width="5.77734375" style="2" customWidth="1"/>
    <col min="4" max="16384" width="7.77734375" style="2"/>
  </cols>
  <sheetData>
    <row r="1" spans="1:3" ht="30" customHeight="1" x14ac:dyDescent="0.25">
      <c r="A1" s="4"/>
      <c r="B1" s="32"/>
      <c r="C1" s="1"/>
    </row>
    <row r="2" spans="1:3" ht="99.95" customHeight="1" x14ac:dyDescent="0.25">
      <c r="A2" s="4"/>
      <c r="B2" s="3" t="s">
        <v>100</v>
      </c>
      <c r="C2" s="1"/>
    </row>
    <row r="3" spans="1:3" ht="120" customHeight="1" x14ac:dyDescent="0.25">
      <c r="A3" s="1"/>
      <c r="B3" s="32"/>
      <c r="C3" s="1"/>
    </row>
    <row r="4" spans="1:3" ht="60" customHeight="1" x14ac:dyDescent="0.25">
      <c r="A4" s="5"/>
      <c r="B4" s="6" t="s">
        <v>101</v>
      </c>
      <c r="C4" s="1"/>
    </row>
    <row r="5" spans="1:3" ht="30.95" customHeight="1" x14ac:dyDescent="0.25">
      <c r="A5" s="5"/>
      <c r="B5" s="32"/>
      <c r="C5" s="1"/>
    </row>
  </sheetData>
  <phoneticPr fontId="8"/>
  <printOptions horizontalCentered="1"/>
  <pageMargins left="0.25" right="0.25" top="0.75" bottom="0.75" header="0.3" footer="0.3"/>
  <pageSetup paperSize="9"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4D4947C-F127-4B2B-B9A2-6BBCC4EE78E2}">
  <ds:schemaRefs>
    <ds:schemaRef ds:uri="http://schemas.microsoft.com/sharepoint/v3/contenttype/forms"/>
  </ds:schemaRefs>
</ds:datastoreItem>
</file>

<file path=customXml/itemProps2.xml><?xml version="1.0" encoding="utf-8"?>
<ds:datastoreItem xmlns:ds="http://schemas.openxmlformats.org/officeDocument/2006/customXml" ds:itemID="{C8D01854-C326-461D-B544-5E7E019ED6B2}">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3.xml><?xml version="1.0" encoding="utf-8"?>
<ds:datastoreItem xmlns:ds="http://schemas.openxmlformats.org/officeDocument/2006/customXml" ds:itemID="{F822F923-2FBD-412B-A1C4-D65A1877C88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TM16400470</Template>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2</vt:i4>
      </vt:variant>
    </vt:vector>
  </HeadingPairs>
  <TitlesOfParts>
    <vt:vector size="6" baseType="lpstr">
      <vt:lpstr>在庫リスト</vt:lpstr>
      <vt:lpstr>ナビゲーション​​ リンク</vt:lpstr>
      <vt:lpstr>アイコン セット</vt:lpstr>
      <vt:lpstr>詳細情報</vt:lpstr>
      <vt:lpstr>在庫リスト!Print_Titles</vt:lpstr>
      <vt:lpstr>SKULook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2026-02-23T10:07:12Z</dcterms:created>
  <dcterms:modified xsi:type="dcterms:W3CDTF">2026-02-28T18:34:03Z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